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 Me" sheetId="1" state="visible" r:id="rId3"/>
    <sheet name="2026 Quick Reference" sheetId="2" state="visible" r:id="rId4"/>
    <sheet name="Set-Aside Estimator" sheetId="3" state="visible" r:id="rId5"/>
    <sheet name="Quarterly Schedule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<sst xmlns="http://schemas.openxmlformats.org/spreadsheetml/2006/main" count="138" uniqueCount="129">
  <si>
    <t xml:space="preserve">Quarterly Tax Set-Aside Planner</t>
  </si>
  <si>
    <t xml:space="preserve">Broker Financial Toolkit · Wealth Building Broker · 2026 Edition</t>
  </si>
  <si>
    <t xml:space="preserve">Built for commission income:</t>
  </si>
  <si>
    <t xml:space="preserve">W-2 planners assume smooth paychecks. Yours arrives in $10K-$40K chunks, three months apart, and the IRS still wants quarterly payments. This planner handles both problems: how much to set aside from each check, and when to send it in.</t>
  </si>
  <si>
    <t xml:space="preserve">1. 2026 Quick Reference</t>
  </si>
  <si>
    <t xml:space="preserve">Every federal and California number you'll need this year, with sources.</t>
  </si>
  <si>
    <t xml:space="preserve">2. Set-Aside Estimator</t>
  </si>
  <si>
    <t xml:space="preserve">Project your year, get a personalized set-aside percentage — not a guess.</t>
  </si>
  <si>
    <t xml:space="preserve">3. Quarterly Schedule</t>
  </si>
  <si>
    <t xml:space="preserve">Safe-harbor math and the actual due dates, INCLUDING California's weird 30/40/0/30 schedule that surprises every new agent.</t>
  </si>
  <si>
    <t xml:space="preserve">The golden rule:</t>
  </si>
  <si>
    <t xml:space="preserve">Move the set-aside percentage of every commission into a separate tax account the day it lands. Money you never see is money you never spend.</t>
  </si>
  <si>
    <t xml:space="preserve">Educational tool only — not tax, legal, or investment advice. Verify all figures with your CPA. Lance Hulsey, CA Real Estate Broker, DRE# 01724888 · wealthbuildingbroker.com</t>
  </si>
  <si>
    <t xml:space="preserve">2026 Federal &amp; California Quick Reference</t>
  </si>
  <si>
    <t xml:space="preserve">Verified against IRS Rev. Proc. inflation adjustments and FTB schedules. Yellow = key planning numbers.</t>
  </si>
  <si>
    <t xml:space="preserve">FEDERAL — 2026 (post-OBBBA)</t>
  </si>
  <si>
    <t xml:space="preserve">Single</t>
  </si>
  <si>
    <t xml:space="preserve">MFJ</t>
  </si>
  <si>
    <t xml:space="preserve">Standard deduction</t>
  </si>
  <si>
    <t xml:space="preserve">IRS 2026 inflation adjustments</t>
  </si>
  <si>
    <t xml:space="preserve">10% bracket to</t>
  </si>
  <si>
    <t xml:space="preserve">Taxable income thresholds</t>
  </si>
  <si>
    <t xml:space="preserve">12% bracket to</t>
  </si>
  <si>
    <t xml:space="preserve">22% bracket to</t>
  </si>
  <si>
    <t xml:space="preserve">24% bracket to</t>
  </si>
  <si>
    <t xml:space="preserve">32% bracket to</t>
  </si>
  <si>
    <t xml:space="preserve">35% bracket to</t>
  </si>
  <si>
    <t xml:space="preserve">37% above</t>
  </si>
  <si>
    <t xml:space="preserve">SE tax rate</t>
  </si>
  <si>
    <t xml:space="preserve">12.4% Social Security + 2.9% Medicare</t>
  </si>
  <si>
    <t xml:space="preserve">Social Security wage base</t>
  </si>
  <si>
    <t xml:space="preserve">SSA 2026; 12.4% stops here</t>
  </si>
  <si>
    <t xml:space="preserve">Additional Medicare 0.9% over</t>
  </si>
  <si>
    <t xml:space="preserve">Single / MFJ</t>
  </si>
  <si>
    <t xml:space="preserve">QBI deduction</t>
  </si>
  <si>
    <t xml:space="preserve">PERMANENT under OBBBA; $400 min if $1K+ QBI; agents are not SSTB</t>
  </si>
  <si>
    <t xml:space="preserve">Bonus depreciation</t>
  </si>
  <si>
    <t xml:space="preserve">100%, permanent, property placed in service after 1/19/2025</t>
  </si>
  <si>
    <t xml:space="preserve">Section 179 limit</t>
  </si>
  <si>
    <t xml:space="preserve">2026 limit</t>
  </si>
  <si>
    <t xml:space="preserve">Business mileage rate</t>
  </si>
  <si>
    <t xml:space="preserve">72.5 cents/mile, 2026</t>
  </si>
  <si>
    <t xml:space="preserve">401(k) employee deferral / total DC limit</t>
  </si>
  <si>
    <t xml:space="preserve">+$8,000 catch-up 50+ ($11,250 ages 60-63)</t>
  </si>
  <si>
    <t xml:space="preserve">SEP-IRA limit</t>
  </si>
  <si>
    <t xml:space="preserve">Lesser of 25% comp or limit</t>
  </si>
  <si>
    <t xml:space="preserve">IRA limit</t>
  </si>
  <si>
    <t xml:space="preserve">+$1,100 catch-up 50+</t>
  </si>
  <si>
    <t xml:space="preserve">CALIFORNIA</t>
  </si>
  <si>
    <t xml:space="preserve">CA rates</t>
  </si>
  <si>
    <t xml:space="preserve">1% – 12.3%</t>
  </si>
  <si>
    <t xml:space="preserve">9 brackets + 1% Behavioral Health surcharge over $1M (top 13.3%)</t>
  </si>
  <si>
    <t xml:space="preserve">9.3% bracket starts at (2025 schedule)</t>
  </si>
  <si>
    <t xml:space="preserve">FTB indexes annually — most agents' marginal CA rate is 9.3%</t>
  </si>
  <si>
    <t xml:space="preserve">CA standard deduction (latest published)</t>
  </si>
  <si>
    <t xml:space="preserve">Verify current year at ftb.ca.gov</t>
  </si>
  <si>
    <t xml:space="preserve">CA SDI rate (2026)</t>
  </si>
  <si>
    <t xml:space="preserve">1.3%, NO wage cap — applies to S-corp W-2 wages</t>
  </si>
  <si>
    <t xml:space="preserve">S-corp franchise tax</t>
  </si>
  <si>
    <t xml:space="preserve">1.5% / $800 min</t>
  </si>
  <si>
    <t xml:space="preserve">Greater of the two; first-year corp waiver</t>
  </si>
  <si>
    <t xml:space="preserve">LLC annual tax + gross-receipts fee</t>
  </si>
  <si>
    <t xml:space="preserve">$800 + $900-$11,790</t>
  </si>
  <si>
    <t xml:space="preserve">Fee tiers start at $250K CA gross receipts</t>
  </si>
  <si>
    <t xml:space="preserve">ESTIMATED TAX DUE DATES — 2026 tax year</t>
  </si>
  <si>
    <t xml:space="preserve">Federal %</t>
  </si>
  <si>
    <t xml:space="preserve">California %</t>
  </si>
  <si>
    <t xml:space="preserve">Q1 — April 15, 2026</t>
  </si>
  <si>
    <t xml:space="preserve">CA front-loads!</t>
  </si>
  <si>
    <t xml:space="preserve">Q2 — June 15, 2026</t>
  </si>
  <si>
    <t xml:space="preserve">CA wants 70% by June 15</t>
  </si>
  <si>
    <t xml:space="preserve">Q3 — September 15, 2026</t>
  </si>
  <si>
    <t xml:space="preserve">CA skips Q3 entirely</t>
  </si>
  <si>
    <t xml:space="preserve">Q4 — January 15, 2027</t>
  </si>
  <si>
    <t xml:space="preserve">Your Personalized Set-Aside Percentage</t>
  </si>
  <si>
    <t xml:space="preserve">Project the year, see the tax, get the percentage. Blue cells only.</t>
  </si>
  <si>
    <t xml:space="preserve">YOUR PROJECTION</t>
  </si>
  <si>
    <t xml:space="preserve">Filing status ("S" or "MFJ")</t>
  </si>
  <si>
    <t xml:space="preserve">S</t>
  </si>
  <si>
    <t xml:space="preserve">Projected net commission income (after expenses)</t>
  </si>
  <si>
    <t xml:space="preserve">Schedule C net profit</t>
  </si>
  <si>
    <t xml:space="preserve">Spouse W-2 wages (if MFJ)</t>
  </si>
  <si>
    <t xml:space="preserve">Pre-tax retirement contributions (Solo 401k/SEP)</t>
  </si>
  <si>
    <t xml:space="preserve">SE health insurance premiums</t>
  </si>
  <si>
    <t xml:space="preserve">Above-the-line if not eligible for employer plan</t>
  </si>
  <si>
    <t xml:space="preserve">FEDERAL CALCULATION</t>
  </si>
  <si>
    <t xml:space="preserve">SE tax</t>
  </si>
  <si>
    <t xml:space="preserve">2026 wage base from Quick Reference</t>
  </si>
  <si>
    <t xml:space="preserve">Half-SE deduction</t>
  </si>
  <si>
    <t xml:space="preserve">QBI deduction (20%, simplified)</t>
  </si>
  <si>
    <t xml:space="preserve">Simplified — phase-outs not modeled; agents are not SSTB</t>
  </si>
  <si>
    <t xml:space="preserve">Federal taxable income</t>
  </si>
  <si>
    <t xml:space="preserve">Federal income tax</t>
  </si>
  <si>
    <t xml:space="preserve">2026 brackets hardcoded from IRS inflation adjustments</t>
  </si>
  <si>
    <t xml:space="preserve">CALIFORNIA CALCULATION (2025 schedule, indexed annually)</t>
  </si>
  <si>
    <t xml:space="preserve">CA taxable income</t>
  </si>
  <si>
    <t xml:space="preserve">CA does not allow the QBI deduction</t>
  </si>
  <si>
    <t xml:space="preserve">CA income tax</t>
  </si>
  <si>
    <t xml:space="preserve">FTB 2025 rate schedules</t>
  </si>
  <si>
    <t xml:space="preserve">THE ANSWER</t>
  </si>
  <si>
    <t xml:space="preserve">Total projected tax (fed income + SE + CA)</t>
  </si>
  <si>
    <t xml:space="preserve">Effective rate on gross commissions</t>
  </si>
  <si>
    <t xml:space="preserve">RECOMMENDED SET-ASIDE (rounded up to nearest 5%)</t>
  </si>
  <si>
    <t xml:space="preserve">Use this in the Commission Cash-Flow Model settings</t>
  </si>
  <si>
    <t xml:space="preserve">Safe Harbor &amp; Payment Schedule</t>
  </si>
  <si>
    <t xml:space="preserve">Pay the safe-harbor amount on time and there is no underpayment penalty — even if you owe more in April.</t>
  </si>
  <si>
    <t xml:space="preserve">SAFE HARBOR INPUTS</t>
  </si>
  <si>
    <t xml:space="preserve">Last year's total federal tax (Form 1040 line 22)</t>
  </si>
  <si>
    <t xml:space="preserve">Last year's AGI over $150K? (Y/N)</t>
  </si>
  <si>
    <t xml:space="preserve">Y</t>
  </si>
  <si>
    <t xml:space="preserve">If yes, safe harbor is 110% of last year's tax</t>
  </si>
  <si>
    <t xml:space="preserve">Last year's total CA tax</t>
  </si>
  <si>
    <t xml:space="preserve">Federal safe-harbor amount</t>
  </si>
  <si>
    <t xml:space="preserve">CA safe-harbor amount</t>
  </si>
  <si>
    <t xml:space="preserve">CA also disallows prior-year safe harbor above $1M AGI</t>
  </si>
  <si>
    <t xml:space="preserve">Quarter / Due date</t>
  </si>
  <si>
    <t xml:space="preserve">Federal due</t>
  </si>
  <si>
    <t xml:space="preserve">CA due</t>
  </si>
  <si>
    <t xml:space="preserve">Paid (fed)</t>
  </si>
  <si>
    <t xml:space="preserve">Paid (CA)</t>
  </si>
  <si>
    <t xml:space="preserve">Notes</t>
  </si>
  <si>
    <t xml:space="preserve">CA front-loads: 30%</t>
  </si>
  <si>
    <t xml:space="preserve">CA wants 40% here — 70% of the year by June</t>
  </si>
  <si>
    <t xml:space="preserve">CA: nothing due</t>
  </si>
  <si>
    <t xml:space="preserve">Total</t>
  </si>
  <si>
    <t xml:space="preserve">· How to pay: Federal — IRS Direct Pay (irs.gov/payments). California — FTB Web Pay (ftb.ca.gov/pay).</t>
  </si>
  <si>
    <t xml:space="preserve">· Alternative to safe harbor: pay 90% of the CURRENT year's tax as you go (use the Set-Aside Estimator).</t>
  </si>
  <si>
    <t xml:space="preserve">· If income is lumpy, the annualized income method (Form 2210 Schedule AI) can lower early-quarter payments — ask your CPA.</t>
  </si>
  <si>
    <t xml:space="preserve">· S-corp owners: your W-2 withholding counts as paid evenly through the year — a Q4 withholding bump can rescue a missed quarter.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</si>
</sst>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\$#,##0;&quot;($&quot;#,##0\);\-"/>
    <numFmt numFmtId="166" formatCode="0.0%"/>
    <numFmt numFmtId="167" formatCode="\$0.000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0A1F3D"/>
      <name val="Arial"/>
      <family val="0"/>
      <charset val="1"/>
    </font>
    <font>
      <i val="true"/>
      <sz val="10"/>
      <color rgb="FF555555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2"/>
      <color rgb="FF0A1F3D"/>
      <name val="Arial"/>
      <family val="0"/>
      <charset val="1"/>
    </font>
    <font>
      <i val="true"/>
      <sz val="9"/>
      <color rgb="FF777777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1"/>
      <color rgb="FFFFFFFF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2F5F9"/>
        <bgColor rgb="FFFFFFFF"/>
      </patternFill>
    </fill>
    <fill>
      <patternFill patternType="solid">
        <fgColor rgb="FF0A1F3D"/>
        <bgColor rgb="FF0033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4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777777"/>
      <rgbColor rgb="FF9999FF"/>
      <rgbColor rgb="FF993366"/>
      <rgbColor rgb="FFF2F5F9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A1F3D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108"/>
  </cols>
  <sheetData>
    <row r="1" customFormat="false" ht="19.7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/>
      <c r="B4" s="4"/>
    </row>
    <row r="5" customFormat="false" ht="23.85" hidden="false" customHeight="false" outlineLevel="0" collapsed="false">
      <c r="A5" s="5" t="s">
        <v>2</v>
      </c>
      <c r="B5" s="4" t="s">
        <v>3</v>
      </c>
    </row>
    <row r="6" customFormat="false" ht="15" hidden="false" customHeight="false" outlineLevel="0" collapsed="false">
      <c r="A6" s="3"/>
      <c r="B6" s="4"/>
    </row>
    <row r="7" customFormat="false" ht="15" hidden="false" customHeight="false" outlineLevel="0" collapsed="false">
      <c r="A7" s="3" t="s">
        <v>4</v>
      </c>
      <c r="B7" s="4" t="s">
        <v>5</v>
      </c>
    </row>
    <row r="8" customFormat="false" ht="15" hidden="false" customHeight="false" outlineLevel="0" collapsed="false">
      <c r="A8" s="3" t="s">
        <v>6</v>
      </c>
      <c r="B8" s="4" t="s">
        <v>7</v>
      </c>
    </row>
    <row r="9" customFormat="false" ht="15" hidden="false" customHeight="false" outlineLevel="0" collapsed="false">
      <c r="A9" s="3" t="s">
        <v>8</v>
      </c>
      <c r="B9" s="4" t="s">
        <v>9</v>
      </c>
    </row>
    <row r="10" customFormat="false" ht="15" hidden="false" customHeight="false" outlineLevel="0" collapsed="false">
      <c r="A10" s="3"/>
      <c r="B10" s="4"/>
    </row>
    <row r="11" customFormat="false" ht="23.85" hidden="false" customHeight="false" outlineLevel="0" collapsed="false">
      <c r="A11" s="5" t="s">
        <v>10</v>
      </c>
      <c r="B11" s="4" t="s">
        <v>11</v>
      </c>
    </row>
    <row r="13" customFormat="false" ht="15" hidden="false" customHeight="false" outlineLevel="0" collapsed="false">
      <c r="A13" s="6" t="s">
        <v>12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6"/>
    <col collapsed="false" customWidth="true" hidden="false" outlineLevel="0" max="3" min="2" style="0" width="16"/>
    <col collapsed="false" customWidth="true" hidden="false" outlineLevel="0" max="4" min="4" style="0" width="62"/>
  </cols>
  <sheetData>
    <row r="1" customFormat="false" ht="19.7" hidden="false" customHeight="false" outlineLevel="0" collapsed="false">
      <c r="A1" s="1" t="s">
        <v>13</v>
      </c>
    </row>
    <row r="2" customFormat="false" ht="15" hidden="false" customHeight="false" outlineLevel="0" collapsed="false">
      <c r="A2" s="2" t="s">
        <v>14</v>
      </c>
    </row>
    <row r="4" customFormat="false" ht="15" hidden="false" customHeight="false" outlineLevel="0" collapsed="false">
      <c r="A4" s="5" t="s">
        <v>15</v>
      </c>
    </row>
    <row r="5" customFormat="false" ht="15" hidden="false" customHeight="false" outlineLevel="0" collapsed="false">
      <c r="B5" s="3" t="s">
        <v>16</v>
      </c>
      <c r="C5" s="3" t="s">
        <v>17</v>
      </c>
    </row>
    <row r="6" customFormat="false" ht="15" hidden="false" customHeight="false" outlineLevel="0" collapsed="false">
      <c r="A6" s="7" t="s">
        <v>18</v>
      </c>
      <c r="B6" s="8" t="n">
        <v>16100</v>
      </c>
      <c r="C6" s="8" t="n">
        <v>32200</v>
      </c>
      <c r="D6" s="6" t="s">
        <v>19</v>
      </c>
    </row>
    <row r="7" customFormat="false" ht="15" hidden="false" customHeight="false" outlineLevel="0" collapsed="false">
      <c r="A7" s="7" t="s">
        <v>20</v>
      </c>
      <c r="B7" s="9" t="n">
        <v>12400</v>
      </c>
      <c r="C7" s="9" t="n">
        <v>24800</v>
      </c>
      <c r="D7" s="6" t="s">
        <v>21</v>
      </c>
    </row>
    <row r="8" customFormat="false" ht="15" hidden="false" customHeight="false" outlineLevel="0" collapsed="false">
      <c r="A8" s="7" t="s">
        <v>22</v>
      </c>
      <c r="B8" s="9" t="n">
        <v>50400</v>
      </c>
      <c r="C8" s="9" t="n">
        <v>100800</v>
      </c>
    </row>
    <row r="9" customFormat="false" ht="15" hidden="false" customHeight="false" outlineLevel="0" collapsed="false">
      <c r="A9" s="7" t="s">
        <v>23</v>
      </c>
      <c r="B9" s="9" t="n">
        <v>105700</v>
      </c>
      <c r="C9" s="9" t="n">
        <v>211400</v>
      </c>
    </row>
    <row r="10" customFormat="false" ht="15" hidden="false" customHeight="false" outlineLevel="0" collapsed="false">
      <c r="A10" s="7" t="s">
        <v>24</v>
      </c>
      <c r="B10" s="9" t="n">
        <v>201775</v>
      </c>
      <c r="C10" s="9" t="n">
        <v>403550</v>
      </c>
    </row>
    <row r="11" customFormat="false" ht="15" hidden="false" customHeight="false" outlineLevel="0" collapsed="false">
      <c r="A11" s="7" t="s">
        <v>25</v>
      </c>
      <c r="B11" s="9" t="n">
        <v>256225</v>
      </c>
      <c r="C11" s="9" t="n">
        <v>512450</v>
      </c>
    </row>
    <row r="12" customFormat="false" ht="15" hidden="false" customHeight="false" outlineLevel="0" collapsed="false">
      <c r="A12" s="7" t="s">
        <v>26</v>
      </c>
      <c r="B12" s="9" t="n">
        <v>640600</v>
      </c>
      <c r="C12" s="9" t="n">
        <v>768700</v>
      </c>
    </row>
    <row r="13" customFormat="false" ht="15" hidden="false" customHeight="false" outlineLevel="0" collapsed="false">
      <c r="A13" s="7" t="s">
        <v>27</v>
      </c>
      <c r="B13" s="9" t="n">
        <v>640600</v>
      </c>
      <c r="C13" s="9" t="n">
        <v>768700</v>
      </c>
    </row>
    <row r="14" customFormat="false" ht="15" hidden="false" customHeight="false" outlineLevel="0" collapsed="false">
      <c r="A14" s="7" t="s">
        <v>28</v>
      </c>
      <c r="B14" s="10" t="n">
        <v>0.153</v>
      </c>
      <c r="D14" s="6" t="s">
        <v>29</v>
      </c>
    </row>
    <row r="15" customFormat="false" ht="15" hidden="false" customHeight="false" outlineLevel="0" collapsed="false">
      <c r="A15" s="7" t="s">
        <v>30</v>
      </c>
      <c r="B15" s="8" t="n">
        <v>184500</v>
      </c>
      <c r="D15" s="6" t="s">
        <v>31</v>
      </c>
    </row>
    <row r="16" customFormat="false" ht="15" hidden="false" customHeight="false" outlineLevel="0" collapsed="false">
      <c r="A16" s="7" t="s">
        <v>32</v>
      </c>
      <c r="B16" s="9" t="n">
        <v>200000</v>
      </c>
      <c r="C16" s="9" t="n">
        <v>250000</v>
      </c>
      <c r="D16" s="6" t="s">
        <v>33</v>
      </c>
    </row>
    <row r="17" customFormat="false" ht="15" hidden="false" customHeight="false" outlineLevel="0" collapsed="false">
      <c r="A17" s="7" t="s">
        <v>34</v>
      </c>
      <c r="B17" s="10" t="n">
        <v>0.2</v>
      </c>
      <c r="D17" s="6" t="s">
        <v>35</v>
      </c>
    </row>
    <row r="18" customFormat="false" ht="15" hidden="false" customHeight="false" outlineLevel="0" collapsed="false">
      <c r="A18" s="7" t="s">
        <v>36</v>
      </c>
      <c r="B18" s="11" t="n">
        <v>1</v>
      </c>
      <c r="D18" s="6" t="s">
        <v>37</v>
      </c>
    </row>
    <row r="19" customFormat="false" ht="15" hidden="false" customHeight="false" outlineLevel="0" collapsed="false">
      <c r="A19" s="7" t="s">
        <v>38</v>
      </c>
      <c r="B19" s="9" t="n">
        <v>2560000</v>
      </c>
      <c r="D19" s="6" t="s">
        <v>39</v>
      </c>
    </row>
    <row r="20" customFormat="false" ht="15" hidden="false" customHeight="false" outlineLevel="0" collapsed="false">
      <c r="A20" s="7" t="s">
        <v>40</v>
      </c>
      <c r="B20" s="12" t="n">
        <v>0.725</v>
      </c>
      <c r="D20" s="6" t="s">
        <v>41</v>
      </c>
    </row>
    <row r="21" customFormat="false" ht="15" hidden="false" customHeight="false" outlineLevel="0" collapsed="false">
      <c r="A21" s="7" t="s">
        <v>42</v>
      </c>
      <c r="B21" s="9" t="n">
        <v>24500</v>
      </c>
      <c r="C21" s="9" t="n">
        <v>72000</v>
      </c>
      <c r="D21" s="6" t="s">
        <v>43</v>
      </c>
    </row>
    <row r="22" customFormat="false" ht="15" hidden="false" customHeight="false" outlineLevel="0" collapsed="false">
      <c r="A22" s="7" t="s">
        <v>44</v>
      </c>
      <c r="B22" s="9" t="n">
        <v>72000</v>
      </c>
      <c r="D22" s="6" t="s">
        <v>45</v>
      </c>
    </row>
    <row r="23" customFormat="false" ht="15" hidden="false" customHeight="false" outlineLevel="0" collapsed="false">
      <c r="A23" s="7" t="s">
        <v>46</v>
      </c>
      <c r="B23" s="9" t="n">
        <v>7500</v>
      </c>
      <c r="D23" s="6" t="s">
        <v>47</v>
      </c>
    </row>
    <row r="25" customFormat="false" ht="15" hidden="false" customHeight="false" outlineLevel="0" collapsed="false">
      <c r="A25" s="5" t="s">
        <v>48</v>
      </c>
    </row>
    <row r="26" customFormat="false" ht="15" hidden="false" customHeight="false" outlineLevel="0" collapsed="false">
      <c r="B26" s="3" t="s">
        <v>16</v>
      </c>
      <c r="C26" s="3" t="s">
        <v>17</v>
      </c>
    </row>
    <row r="27" customFormat="false" ht="15" hidden="false" customHeight="false" outlineLevel="0" collapsed="false">
      <c r="A27" s="7" t="s">
        <v>49</v>
      </c>
      <c r="B27" s="13" t="s">
        <v>50</v>
      </c>
      <c r="D27" s="6" t="s">
        <v>51</v>
      </c>
    </row>
    <row r="28" customFormat="false" ht="15" hidden="false" customHeight="false" outlineLevel="0" collapsed="false">
      <c r="A28" s="7" t="s">
        <v>52</v>
      </c>
      <c r="B28" s="8" t="n">
        <v>72724</v>
      </c>
      <c r="C28" s="8" t="n">
        <v>145448</v>
      </c>
      <c r="D28" s="6" t="s">
        <v>53</v>
      </c>
    </row>
    <row r="29" customFormat="false" ht="15" hidden="false" customHeight="false" outlineLevel="0" collapsed="false">
      <c r="A29" s="7" t="s">
        <v>54</v>
      </c>
      <c r="B29" s="9" t="n">
        <v>5540</v>
      </c>
      <c r="C29" s="9" t="n">
        <v>11080</v>
      </c>
      <c r="D29" s="6" t="s">
        <v>55</v>
      </c>
    </row>
    <row r="30" customFormat="false" ht="15" hidden="false" customHeight="false" outlineLevel="0" collapsed="false">
      <c r="A30" s="7" t="s">
        <v>56</v>
      </c>
      <c r="B30" s="11" t="n">
        <v>0.013</v>
      </c>
      <c r="D30" s="6" t="s">
        <v>57</v>
      </c>
    </row>
    <row r="31" customFormat="false" ht="15" hidden="false" customHeight="false" outlineLevel="0" collapsed="false">
      <c r="A31" s="7" t="s">
        <v>58</v>
      </c>
      <c r="B31" s="13" t="s">
        <v>59</v>
      </c>
      <c r="D31" s="6" t="s">
        <v>60</v>
      </c>
    </row>
    <row r="32" customFormat="false" ht="15" hidden="false" customHeight="false" outlineLevel="0" collapsed="false">
      <c r="A32" s="7" t="s">
        <v>61</v>
      </c>
      <c r="B32" s="13" t="s">
        <v>62</v>
      </c>
      <c r="D32" s="6" t="s">
        <v>63</v>
      </c>
    </row>
    <row r="34" customFormat="false" ht="15" hidden="false" customHeight="false" outlineLevel="0" collapsed="false">
      <c r="A34" s="5" t="s">
        <v>64</v>
      </c>
    </row>
    <row r="35" customFormat="false" ht="15" hidden="false" customHeight="false" outlineLevel="0" collapsed="false">
      <c r="B35" s="3" t="s">
        <v>65</v>
      </c>
      <c r="C35" s="3" t="s">
        <v>66</v>
      </c>
    </row>
    <row r="36" customFormat="false" ht="15" hidden="false" customHeight="false" outlineLevel="0" collapsed="false">
      <c r="A36" s="7" t="s">
        <v>67</v>
      </c>
      <c r="B36" s="11" t="n">
        <v>0.25</v>
      </c>
      <c r="C36" s="11" t="n">
        <v>0.3</v>
      </c>
      <c r="D36" s="6" t="s">
        <v>68</v>
      </c>
    </row>
    <row r="37" customFormat="false" ht="15" hidden="false" customHeight="false" outlineLevel="0" collapsed="false">
      <c r="A37" s="7" t="s">
        <v>69</v>
      </c>
      <c r="B37" s="10" t="n">
        <v>0.25</v>
      </c>
      <c r="C37" s="10" t="n">
        <v>0.4</v>
      </c>
      <c r="D37" s="6" t="s">
        <v>70</v>
      </c>
    </row>
    <row r="38" customFormat="false" ht="15" hidden="false" customHeight="false" outlineLevel="0" collapsed="false">
      <c r="A38" s="7" t="s">
        <v>71</v>
      </c>
      <c r="B38" s="11" t="n">
        <v>0.25</v>
      </c>
      <c r="C38" s="11" t="n">
        <v>0</v>
      </c>
      <c r="D38" s="6" t="s">
        <v>72</v>
      </c>
    </row>
    <row r="39" customFormat="false" ht="15" hidden="false" customHeight="false" outlineLevel="0" collapsed="false">
      <c r="A39" s="7" t="s">
        <v>73</v>
      </c>
      <c r="B39" s="11" t="n">
        <v>0.25</v>
      </c>
      <c r="C39" s="11" t="n">
        <v>0.3</v>
      </c>
    </row>
    <row r="41" customFormat="false" ht="15" hidden="false" customHeight="false" outlineLevel="0" collapsed="false">
      <c r="A41" s="6" t="s">
        <v>12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8"/>
    <col collapsed="false" customWidth="true" hidden="false" outlineLevel="0" max="2" min="2" style="0" width="16"/>
    <col collapsed="false" customWidth="true" hidden="false" outlineLevel="0" max="3" min="3" style="0" width="66"/>
  </cols>
  <sheetData>
    <row r="1" customFormat="false" ht="19.7" hidden="false" customHeight="false" outlineLevel="0" collapsed="false">
      <c r="A1" s="1" t="s">
        <v>74</v>
      </c>
    </row>
    <row r="2" customFormat="false" ht="15" hidden="false" customHeight="false" outlineLevel="0" collapsed="false">
      <c r="A2" s="2" t="s">
        <v>75</v>
      </c>
    </row>
    <row r="4" customFormat="false" ht="15" hidden="false" customHeight="false" outlineLevel="0" collapsed="false">
      <c r="A4" s="5" t="s">
        <v>76</v>
      </c>
    </row>
    <row r="5" customFormat="false" ht="15" hidden="false" customHeight="false" outlineLevel="0" collapsed="false">
      <c r="A5" s="7" t="s">
        <v>77</v>
      </c>
      <c r="B5" s="14" t="s">
        <v>78</v>
      </c>
    </row>
    <row r="6" customFormat="false" ht="15" hidden="false" customHeight="false" outlineLevel="0" collapsed="false">
      <c r="A6" s="7" t="s">
        <v>79</v>
      </c>
      <c r="B6" s="15" t="n">
        <v>150000</v>
      </c>
      <c r="C6" s="6" t="s">
        <v>80</v>
      </c>
    </row>
    <row r="7" customFormat="false" ht="15" hidden="false" customHeight="false" outlineLevel="0" collapsed="false">
      <c r="A7" s="7" t="s">
        <v>81</v>
      </c>
      <c r="B7" s="15" t="n">
        <v>0</v>
      </c>
    </row>
    <row r="8" customFormat="false" ht="15" hidden="false" customHeight="false" outlineLevel="0" collapsed="false">
      <c r="A8" s="7" t="s">
        <v>82</v>
      </c>
      <c r="B8" s="15" t="n">
        <v>10000</v>
      </c>
    </row>
    <row r="9" customFormat="false" ht="15" hidden="false" customHeight="false" outlineLevel="0" collapsed="false">
      <c r="A9" s="7" t="s">
        <v>83</v>
      </c>
      <c r="B9" s="15" t="n">
        <v>8400</v>
      </c>
      <c r="C9" s="6" t="s">
        <v>84</v>
      </c>
    </row>
    <row r="11" customFormat="false" ht="15" hidden="false" customHeight="false" outlineLevel="0" collapsed="false">
      <c r="A11" s="5" t="s">
        <v>85</v>
      </c>
    </row>
    <row r="12" customFormat="false" ht="15" hidden="false" customHeight="false" outlineLevel="0" collapsed="false">
      <c r="A12" s="7" t="s">
        <v>86</v>
      </c>
      <c r="B12" s="9" t="n">
        <f aca="false">MIN(B6*0.9235,'2026 Quick Reference'!B15)*0.124+B6*0.9235*0.029</f>
        <v>21194.325</v>
      </c>
      <c r="C12" s="6" t="s">
        <v>87</v>
      </c>
    </row>
    <row r="13" customFormat="false" ht="15" hidden="false" customHeight="false" outlineLevel="0" collapsed="false">
      <c r="A13" s="7" t="s">
        <v>88</v>
      </c>
      <c r="B13" s="9" t="n">
        <f aca="false">B12/2</f>
        <v>10597.1625</v>
      </c>
    </row>
    <row r="14" customFormat="false" ht="15" hidden="false" customHeight="false" outlineLevel="0" collapsed="false">
      <c r="A14" s="7" t="s">
        <v>89</v>
      </c>
      <c r="B14" s="9" t="n">
        <f aca="false">MAX(400*(B6&gt;1000),0.2*MAX(0,B6-B13))</f>
        <v>27880.5675</v>
      </c>
      <c r="C14" s="6" t="s">
        <v>90</v>
      </c>
    </row>
    <row r="15" customFormat="false" ht="15" hidden="false" customHeight="false" outlineLevel="0" collapsed="false">
      <c r="A15" s="7" t="s">
        <v>91</v>
      </c>
      <c r="B15" s="9" t="n">
        <f aca="false">MAX(0,B6+B7-B13-B8-B9-B14-IF(UPPER(B5)="MFJ",'2026 Quick Reference'!C6,'2026 Quick Reference'!B6))</f>
        <v>77022.27</v>
      </c>
    </row>
    <row r="16" customFormat="false" ht="15" hidden="false" customHeight="false" outlineLevel="0" collapsed="false">
      <c r="A16" s="7" t="s">
        <v>92</v>
      </c>
      <c r="B16" s="9" t="n">
        <f aca="false">IF(UPPER(B5)="MFJ",0.1*MIN(B15,24800)+0.12*MAX(0,MIN(B15,100800)-24800)+0.22*MAX(0,MIN(B15,211400)-100800)+0.24*MAX(0,MIN(B15,403550)-211400)+0.32*MAX(0,MIN(B15,512450)-403550)+0.35*MAX(0,MIN(B15,768700)-512450)+0.37*MAX(0,B15-768700),0.1*MIN(B15,12400)+0.12*MAX(0,MIN(B15,50400)-12400)+0.22*MAX(0,MIN(B15,105700)-50400)+0.24*MAX(0,MIN(B15,201775)-105700)+0.32*MAX(0,MIN(B15,256225)-201775)+0.35*MAX(0,MIN(B15,640600)-256225)+0.37*MAX(0,B15-640600))</f>
        <v>11656.8994</v>
      </c>
      <c r="C16" s="6" t="s">
        <v>93</v>
      </c>
    </row>
    <row r="18" customFormat="false" ht="15" hidden="false" customHeight="false" outlineLevel="0" collapsed="false">
      <c r="A18" s="5" t="s">
        <v>94</v>
      </c>
    </row>
    <row r="19" customFormat="false" ht="15" hidden="false" customHeight="false" outlineLevel="0" collapsed="false">
      <c r="A19" s="7" t="s">
        <v>95</v>
      </c>
      <c r="B19" s="9" t="n">
        <f aca="false">MAX(0,B6+B7-B8-B9-B12/2-IF(UPPER(B5)="MFJ",'2026 Quick Reference'!C29,'2026 Quick Reference'!B29))</f>
        <v>115462.8375</v>
      </c>
      <c r="C19" s="6" t="s">
        <v>96</v>
      </c>
    </row>
    <row r="20" customFormat="false" ht="15" hidden="false" customHeight="false" outlineLevel="0" collapsed="false">
      <c r="A20" s="7" t="s">
        <v>97</v>
      </c>
      <c r="B20" s="9" t="n">
        <f aca="false">IF(UPPER(B5)="MFJ",0.01*MIN(B19,22158)+0.02*MAX(0,MIN(B19,52528)-22158)+0.04*MAX(0,MIN(B19,82904)-52528)+0.06*MAX(0,MIN(B19,115084)-82904)+0.08*MAX(0,MIN(B19,145448)-115084)+0.093*MAX(0,MIN(B19,742958)-145448)+0.103*MAX(0,MIN(B19,891542)-742958)+0.113*MAX(0,MIN(B19,1485906)-891542)+0.123*MAX(0,B19-1485906),0.01*MIN(B19,11079)+0.02*MAX(0,MIN(B19,26264)-11079)+0.04*MAX(0,MIN(B19,41452)-26264)+0.06*MAX(0,MIN(B19,57542)-41452)+0.08*MAX(0,MIN(B19,72724)-57542)+0.093*MAX(0,MIN(B19,371479)-72724)+0.103*MAX(0,MIN(B19,445771)-371479)+0.113*MAX(0,MIN(B19,742953)-445771)+0.123*MAX(0,B19-742953))</f>
        <v>7176.6818875</v>
      </c>
      <c r="C20" s="6" t="s">
        <v>98</v>
      </c>
    </row>
    <row r="22" customFormat="false" ht="15" hidden="false" customHeight="false" outlineLevel="0" collapsed="false">
      <c r="A22" s="5" t="s">
        <v>99</v>
      </c>
    </row>
    <row r="23" customFormat="false" ht="15" hidden="false" customHeight="false" outlineLevel="0" collapsed="false">
      <c r="A23" s="3" t="s">
        <v>100</v>
      </c>
      <c r="B23" s="16" t="n">
        <f aca="false">B16+B12+B20</f>
        <v>40027.9062875</v>
      </c>
    </row>
    <row r="24" customFormat="false" ht="15" hidden="false" customHeight="false" outlineLevel="0" collapsed="false">
      <c r="A24" s="3" t="s">
        <v>101</v>
      </c>
      <c r="B24" s="11" t="n">
        <f aca="false">IF(B6=0,"",B23/B6)</f>
        <v>0.266852708583333</v>
      </c>
    </row>
    <row r="25" customFormat="false" ht="15" hidden="false" customHeight="false" outlineLevel="0" collapsed="false">
      <c r="A25" s="3" t="s">
        <v>102</v>
      </c>
      <c r="B25" s="10" t="n">
        <f aca="false">IF(B6=0,"",CEILING(B23/B6,0.05))</f>
        <v>0.3</v>
      </c>
      <c r="C25" s="6" t="s">
        <v>103</v>
      </c>
    </row>
    <row r="27" customFormat="false" ht="15" hidden="false" customHeight="false" outlineLevel="0" collapsed="false">
      <c r="A27" s="6" t="s">
        <v>12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6"/>
    <col collapsed="false" customWidth="true" hidden="false" outlineLevel="0" max="5" min="2" style="0" width="17"/>
    <col collapsed="false" customWidth="true" hidden="false" outlineLevel="0" max="6" min="6" style="0" width="40"/>
  </cols>
  <sheetData>
    <row r="1" customFormat="false" ht="19.7" hidden="false" customHeight="false" outlineLevel="0" collapsed="false">
      <c r="A1" s="1" t="s">
        <v>104</v>
      </c>
    </row>
    <row r="2" customFormat="false" ht="15" hidden="false" customHeight="false" outlineLevel="0" collapsed="false">
      <c r="A2" s="2" t="s">
        <v>105</v>
      </c>
    </row>
    <row r="4" customFormat="false" ht="15" hidden="false" customHeight="false" outlineLevel="0" collapsed="false">
      <c r="A4" s="5" t="s">
        <v>106</v>
      </c>
    </row>
    <row r="5" customFormat="false" ht="15" hidden="false" customHeight="false" outlineLevel="0" collapsed="false">
      <c r="A5" s="7" t="s">
        <v>107</v>
      </c>
      <c r="B5" s="15" t="n">
        <v>38000</v>
      </c>
    </row>
    <row r="6" customFormat="false" ht="15" hidden="false" customHeight="false" outlineLevel="0" collapsed="false">
      <c r="A6" s="7" t="s">
        <v>108</v>
      </c>
      <c r="B6" s="14" t="s">
        <v>109</v>
      </c>
      <c r="F6" s="6" t="s">
        <v>110</v>
      </c>
    </row>
    <row r="7" customFormat="false" ht="15" hidden="false" customHeight="false" outlineLevel="0" collapsed="false">
      <c r="A7" s="7" t="s">
        <v>111</v>
      </c>
      <c r="B7" s="15" t="n">
        <v>14000</v>
      </c>
    </row>
    <row r="8" customFormat="false" ht="15" hidden="false" customHeight="false" outlineLevel="0" collapsed="false">
      <c r="A8" s="7" t="s">
        <v>112</v>
      </c>
      <c r="B8" s="9" t="n">
        <f aca="false">B5*IF(UPPER(B6)="Y",1.1,1)</f>
        <v>41800</v>
      </c>
    </row>
    <row r="9" customFormat="false" ht="15" hidden="false" customHeight="false" outlineLevel="0" collapsed="false">
      <c r="A9" s="7" t="s">
        <v>113</v>
      </c>
      <c r="B9" s="9" t="n">
        <f aca="false">B7*IF(UPPER(B6)="Y",1.1,1)</f>
        <v>15400</v>
      </c>
      <c r="F9" s="6" t="s">
        <v>114</v>
      </c>
    </row>
    <row r="11" customFormat="false" ht="15" hidden="false" customHeight="false" outlineLevel="0" collapsed="false">
      <c r="A11" s="17" t="s">
        <v>115</v>
      </c>
      <c r="B11" s="17" t="s">
        <v>116</v>
      </c>
      <c r="C11" s="17" t="s">
        <v>117</v>
      </c>
      <c r="D11" s="17" t="s">
        <v>118</v>
      </c>
      <c r="E11" s="17" t="s">
        <v>119</v>
      </c>
      <c r="F11" s="17" t="s">
        <v>120</v>
      </c>
    </row>
    <row r="12" customFormat="false" ht="15" hidden="false" customHeight="false" outlineLevel="0" collapsed="false">
      <c r="A12" s="18" t="s">
        <v>67</v>
      </c>
      <c r="B12" s="19" t="n">
        <f aca="false">B8*0.25</f>
        <v>10450</v>
      </c>
      <c r="C12" s="19" t="n">
        <f aca="false">B9*0.3</f>
        <v>4620</v>
      </c>
      <c r="D12" s="20"/>
      <c r="E12" s="20"/>
      <c r="F12" s="21" t="s">
        <v>121</v>
      </c>
    </row>
    <row r="13" customFormat="false" ht="15" hidden="false" customHeight="false" outlineLevel="0" collapsed="false">
      <c r="A13" s="18" t="s">
        <v>69</v>
      </c>
      <c r="B13" s="19" t="n">
        <f aca="false">B8*0.25</f>
        <v>10450</v>
      </c>
      <c r="C13" s="19" t="n">
        <f aca="false">B9*0.4</f>
        <v>6160</v>
      </c>
      <c r="D13" s="20"/>
      <c r="E13" s="20"/>
      <c r="F13" s="21" t="s">
        <v>122</v>
      </c>
    </row>
    <row r="14" customFormat="false" ht="15" hidden="false" customHeight="false" outlineLevel="0" collapsed="false">
      <c r="A14" s="18" t="s">
        <v>71</v>
      </c>
      <c r="B14" s="19" t="n">
        <f aca="false">B8*0.25</f>
        <v>10450</v>
      </c>
      <c r="C14" s="19" t="n">
        <f aca="false">B9*0</f>
        <v>0</v>
      </c>
      <c r="D14" s="20"/>
      <c r="E14" s="20"/>
      <c r="F14" s="21" t="s">
        <v>123</v>
      </c>
    </row>
    <row r="15" customFormat="false" ht="15" hidden="false" customHeight="false" outlineLevel="0" collapsed="false">
      <c r="A15" s="18" t="s">
        <v>73</v>
      </c>
      <c r="B15" s="19" t="n">
        <f aca="false">B8*0.25</f>
        <v>10450</v>
      </c>
      <c r="C15" s="19" t="n">
        <f aca="false">B9*0.3</f>
        <v>4620</v>
      </c>
      <c r="D15" s="20"/>
      <c r="E15" s="20"/>
      <c r="F15" s="21"/>
    </row>
    <row r="16" customFormat="false" ht="15" hidden="false" customHeight="false" outlineLevel="0" collapsed="false">
      <c r="A16" s="3" t="s">
        <v>124</v>
      </c>
      <c r="B16" s="9" t="n">
        <f aca="false">SUM(B12:B15)</f>
        <v>41800</v>
      </c>
      <c r="C16" s="9" t="n">
        <f aca="false">SUM(C12:C15)</f>
        <v>15400</v>
      </c>
      <c r="D16" s="9" t="n">
        <f aca="false">SUM(D12:D15)</f>
        <v>0</v>
      </c>
      <c r="E16" s="9" t="n">
        <f aca="false">SUM(E12:E15)</f>
        <v>0</v>
      </c>
    </row>
    <row r="18" customFormat="false" ht="15" hidden="false" customHeight="false" outlineLevel="0" collapsed="false">
      <c r="A18" s="22" t="s">
        <v>125</v>
      </c>
      <c r="B18" s="22"/>
      <c r="C18" s="22"/>
      <c r="D18" s="22"/>
      <c r="E18" s="22"/>
      <c r="F18" s="22"/>
    </row>
    <row r="19" customFormat="false" ht="15" hidden="false" customHeight="false" outlineLevel="0" collapsed="false">
      <c r="A19" s="22" t="s">
        <v>126</v>
      </c>
      <c r="B19" s="22"/>
      <c r="C19" s="22"/>
      <c r="D19" s="22"/>
      <c r="E19" s="22"/>
      <c r="F19" s="22"/>
    </row>
    <row r="20" customFormat="false" ht="15" hidden="false" customHeight="false" outlineLevel="0" collapsed="false">
      <c r="A20" s="22" t="s">
        <v>127</v>
      </c>
      <c r="B20" s="22"/>
      <c r="C20" s="22"/>
      <c r="D20" s="22"/>
      <c r="E20" s="22"/>
      <c r="F20" s="22"/>
    </row>
    <row r="21" customFormat="false" ht="15" hidden="false" customHeight="false" outlineLevel="0" collapsed="false">
      <c r="A21" s="22" t="s">
        <v>128</v>
      </c>
      <c r="B21" s="22"/>
      <c r="C21" s="22"/>
      <c r="D21" s="22"/>
      <c r="E21" s="22"/>
      <c r="F21" s="22"/>
    </row>
    <row r="23" customFormat="false" ht="15" hidden="false" customHeight="false" outlineLevel="0" collapsed="false">
      <c r="A23" s="6" t="s">
        <v>12</v>
      </c>
    </row>
  </sheetData>
  <mergeCells count="4">
    <mergeCell ref="A18:F18"/>
    <mergeCell ref="A19:F19"/>
    <mergeCell ref="A20:F20"/>
    <mergeCell ref="A21:F2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2026-07-05T23:08:37Z</dcterms:created>
  <dc:creator>openpyxl</dc:creator>
  <dc:description/>
  <dc:language>en-US</dc:language>
  <cp:lastModifiedBy/>
  <dcterms:modified xsi:type="dcterms:W3CDTF">2026-07-05T23:08:37Z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