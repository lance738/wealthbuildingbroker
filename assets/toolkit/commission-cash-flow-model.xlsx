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Commission Log" sheetId="3" state="visible" r:id="rId5"/>
    <sheet name="Dashboard" sheetId="4" state="visible" r:id="rId6"/>
    <sheet name="Check Calculato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<sst xmlns="http://schemas.openxmlformats.org/spreadsheetml/2006/main" count="102" uniqueCount="97">
  <si>
    <t xml:space="preserve">Commission Cash-Flow Model</t>
  </si>
  <si>
    <t xml:space="preserve">Broker Financial Toolkit · Wealth Building Broker · 2026 Edition</t>
  </si>
  <si>
    <t xml:space="preserve">Why this model exists:</t>
  </si>
  <si>
    <t xml:space="preserve">A commission check is not income. It's gross revenue that has to survive your franchise royalty, your split, your cap, transaction fees, taxes, and your own spending habits before any of it is yours. This model makes every dollar's path visible.</t>
  </si>
  <si>
    <t xml:space="preserve">1. Settings</t>
  </si>
  <si>
    <t xml:space="preserve">Your split, cap, royalty, fees, and allocation percentages. Set once, adjust as your contract changes.</t>
  </si>
  <si>
    <t xml:space="preserve">2. Commission Log</t>
  </si>
  <si>
    <t xml:space="preserve">Log every closing. The model tracks your cap and royalty cap AUTOMATICALLY — once you cap, the math changes on its own.</t>
  </si>
  <si>
    <t xml:space="preserve">3. Dashboard</t>
  </si>
  <si>
    <t xml:space="preserve">YTD totals: what you grossed, what the brokerage kept, what the IRS is owed, and what was actually yours.</t>
  </si>
  <si>
    <t xml:space="preserve">4. Check Calculator</t>
  </si>
  <si>
    <t xml:space="preserve">Before you spend a pending commission, see what it's really worth.</t>
  </si>
  <si>
    <t xml:space="preserve">The allocation system (Profit First for agents):</t>
  </si>
  <si>
    <t xml:space="preserve">Every net commission is split by fixed percentages the day it lands: Tax set-aside → tax account. Profit → untouchable. Owner pay → what you live on. Operating → business costs. If you only adopt one habit from this toolkit, make it this one.</t>
  </si>
  <si>
    <t xml:space="preserve">Blue cells are yours. Black cells are formulas. Yellow cells are worth reviewing once.</t>
  </si>
  <si>
    <t xml:space="preserve">Educational tool only — not tax, legal, or investment advice. Verify all figures with your CPA. Lance Hulsey, CA Real Estate Broker, DRE# 01724888 · wealthbuildingbroker.com</t>
  </si>
  <si>
    <t xml:space="preserve">Your Brokerage &amp; Allocation Settings</t>
  </si>
  <si>
    <t xml:space="preserve">Defaults show a common KW-style structure — replace with YOUR contract numbers.</t>
  </si>
  <si>
    <t xml:space="preserve">BROKERAGE STRUCTURE</t>
  </si>
  <si>
    <t xml:space="preserve">Broker split (their share of GCI, pre-cap)</t>
  </si>
  <si>
    <t xml:space="preserve">e.g., 70/30 split = 30% to broker</t>
  </si>
  <si>
    <t xml:space="preserve">Company-dollar cap (annual)</t>
  </si>
  <si>
    <t xml:space="preserve">Once the broker has kept this much, you go to 100%</t>
  </si>
  <si>
    <t xml:space="preserve">Franchise royalty rate</t>
  </si>
  <si>
    <t xml:space="preserve">KW: 6% of GCI</t>
  </si>
  <si>
    <t xml:space="preserve">Franchise royalty cap (annual)</t>
  </si>
  <si>
    <t xml:space="preserve">KW: $3,000/anniversary year</t>
  </si>
  <si>
    <t xml:space="preserve">Flat transaction/E&amp;O fee per closing</t>
  </si>
  <si>
    <t xml:space="preserve">Whatever your brokerage charges per file</t>
  </si>
  <si>
    <t xml:space="preserve">ALLOCATION OF EVERY NET COMMISSION</t>
  </si>
  <si>
    <t xml:space="preserve">Tax set-aside</t>
  </si>
  <si>
    <t xml:space="preserve">30% is the CA-agent starting point; tune with the Quarterly Tax Planner</t>
  </si>
  <si>
    <t xml:space="preserve">Profit (untouchable)</t>
  </si>
  <si>
    <t xml:space="preserve">Pay yourself first — this is how the down-payment fund grows</t>
  </si>
  <si>
    <t xml:space="preserve">Owner pay (what you live on)</t>
  </si>
  <si>
    <t xml:space="preserve">Operating (business expenses)</t>
  </si>
  <si>
    <t xml:space="preserve">Allocation check (must equal 100%)</t>
  </si>
  <si>
    <t xml:space="preserve">Commission Log — cap-aware</t>
  </si>
  <si>
    <t xml:space="preserve">Log each closing. Columns F-G handle your royalty cap and company-dollar cap automatically.</t>
  </si>
  <si>
    <t xml:space="preserve">Close Date</t>
  </si>
  <si>
    <t xml:space="preserve">Property / Client</t>
  </si>
  <si>
    <t xml:space="preserve">Sale Price</t>
  </si>
  <si>
    <t xml:space="preserve">GCI %</t>
  </si>
  <si>
    <t xml:space="preserve">GCI</t>
  </si>
  <si>
    <t xml:space="preserve">Royalty (capped)</t>
  </si>
  <si>
    <t xml:space="preserve">Company Dollar (capped)</t>
  </si>
  <si>
    <t xml:space="preserve">Txn Fee</t>
  </si>
  <si>
    <t xml:space="preserve">Net Commission</t>
  </si>
  <si>
    <t xml:space="preserve">→ Tax</t>
  </si>
  <si>
    <t xml:space="preserve">→ Profit</t>
  </si>
  <si>
    <t xml:space="preserve">→ Owner Pay</t>
  </si>
  <si>
    <t xml:space="preserve">→ Operating</t>
  </si>
  <si>
    <t xml:space="preserve">Cap Used YTD</t>
  </si>
  <si>
    <t xml:space="preserve">1/15/2026</t>
  </si>
  <si>
    <t xml:space="preserve">123 Ocean View Dr — Buyer</t>
  </si>
  <si>
    <t xml:space="preserve">2/28/2026</t>
  </si>
  <si>
    <t xml:space="preserve">47 Redwood Ln — Seller</t>
  </si>
  <si>
    <t xml:space="preserve">4/10/2026</t>
  </si>
  <si>
    <t xml:space="preserve">882 Soquel Ave — Buyer</t>
  </si>
  <si>
    <t xml:space="preserve">Year-to-Date Dashboard</t>
  </si>
  <si>
    <t xml:space="preserve">Everything below sums automatically from the Commission Log.</t>
  </si>
  <si>
    <t xml:space="preserve">PRODUCTION</t>
  </si>
  <si>
    <t xml:space="preserve">Closings YTD</t>
  </si>
  <si>
    <t xml:space="preserve">Volume YTD</t>
  </si>
  <si>
    <t xml:space="preserve">GCI YTD</t>
  </si>
  <si>
    <t xml:space="preserve">WHERE IT WENT</t>
  </si>
  <si>
    <t xml:space="preserve">Franchise royalty paid</t>
  </si>
  <si>
    <t xml:space="preserve">Company dollar paid (cap progress)</t>
  </si>
  <si>
    <t xml:space="preserve">Cap remaining</t>
  </si>
  <si>
    <t xml:space="preserve">$0 means you've capped — congratulations</t>
  </si>
  <si>
    <t xml:space="preserve">Transaction fees</t>
  </si>
  <si>
    <t xml:space="preserve">Net commission income YTD</t>
  </si>
  <si>
    <t xml:space="preserve">YOUR ALLOCATIONS</t>
  </si>
  <si>
    <t xml:space="preserve">Tax set-aside balance (should be in a separate account)</t>
  </si>
  <si>
    <t xml:space="preserve">Profit accumulated</t>
  </si>
  <si>
    <t xml:space="preserve">Owner pay YTD</t>
  </si>
  <si>
    <t xml:space="preserve">Operating budget YTD</t>
  </si>
  <si>
    <t xml:space="preserve">THE NUMBER THAT MATTERS</t>
  </si>
  <si>
    <t xml:space="preserve">Take-home rate (owner pay + profit as % of GCI)</t>
  </si>
  <si>
    <t xml:space="preserve">Most agents guess 70-80%. Reality is usually 45-55%. Now you know yours.</t>
  </si>
  <si>
    <t xml:space="preserve">What Is This Check Actually Worth?</t>
  </si>
  <si>
    <t xml:space="preserve">For the commission you haven't received yet. Uses your Settings.</t>
  </si>
  <si>
    <t xml:space="preserve">Sale price</t>
  </si>
  <si>
    <t xml:space="preserve">Your commission %</t>
  </si>
  <si>
    <t xml:space="preserve">Have you already capped this year? (Y/N)</t>
  </si>
  <si>
    <t xml:space="preserve">N</t>
  </si>
  <si>
    <t xml:space="preserve">Royalty cap already met? (Y/N)</t>
  </si>
  <si>
    <t xml:space="preserve">Gross commission (GCI)</t>
  </si>
  <si>
    <t xml:space="preserve">Less: franchise royalty</t>
  </si>
  <si>
    <t xml:space="preserve">Less: company dollar</t>
  </si>
  <si>
    <t xml:space="preserve">Less: transaction fee</t>
  </si>
  <si>
    <t xml:space="preserve">Net commission</t>
  </si>
  <si>
    <t xml:space="preserve">Less: tax set-aside</t>
  </si>
  <si>
    <t xml:space="preserve">Less: profit allocation</t>
  </si>
  <si>
    <t xml:space="preserve">Less: operating allocation</t>
  </si>
  <si>
    <t xml:space="preserve">WHAT YOU CAN ACTUALLY SPEND</t>
  </si>
  <si>
    <t xml:space="preserve">Spendable as % of what the client thinks you made</t>
  </si>
</sst>
</file>

<file path=xl/styles.xml><?xml version="1.0" encoding="utf-8"?>
<styleSheet xmlns="http://schemas.openxmlformats.org/spreadsheetml/2006/main">
  <numFmts count="4">
    <numFmt numFmtId="164" formatCode="General"/>
    <numFmt numFmtId="165" formatCode="0.0%"/>
    <numFmt numFmtId="166" formatCode="\$#,##0;&quot;($&quot;#,##0\);\-"/>
    <numFmt numFmtId="167" formatCode="0"/>
  </numFmts>
  <fonts count="14">
    <font>
      <sz val="11"/>
      <color theme="1"/>
      <name val="Calibri"/>
      <family val="2"/>
      <charset val="1"/>
    </font>
    <font>
      <sz val="10"/>
      <name val="Arial"/>
      <family val="0"/>
    </font>
    <font>
      <sz val="10"/>
      <name val="Arial"/>
      <family val="0"/>
    </font>
    <font>
      <sz val="10"/>
      <name val="Arial"/>
      <family val="0"/>
    </font>
    <font>
      <b val="true"/>
      <sz val="16"/>
      <color rgb="FF0A1F3D"/>
      <name val="Arial"/>
      <family val="0"/>
      <charset val="1"/>
    </font>
    <font>
      <i val="true"/>
      <sz val="10"/>
      <color rgb="FF555555"/>
      <name val="Arial"/>
      <family val="0"/>
      <charset val="1"/>
    </font>
    <font>
      <b val="true"/>
      <sz val="10"/>
      <name val="Arial"/>
      <family val="0"/>
      <charset val="1"/>
    </font>
    <font>
      <sz val="10"/>
      <name val="Arial"/>
      <family val="0"/>
      <charset val="1"/>
    </font>
    <font>
      <b val="true"/>
      <sz val="12"/>
      <color rgb="FF0A1F3D"/>
      <name val="Arial"/>
      <family val="0"/>
      <charset val="1"/>
    </font>
    <font>
      <i val="true"/>
      <sz val="9"/>
      <color rgb="FF777777"/>
      <name val="Arial"/>
      <family val="0"/>
      <charset val="1"/>
    </font>
    <font>
      <sz val="10"/>
      <color rgb="FF0000FF"/>
      <name val="Arial"/>
      <family val="0"/>
      <charset val="1"/>
    </font>
    <font>
      <sz val="10"/>
      <color rgb="FF000000"/>
      <name val="Arial"/>
      <family val="0"/>
      <charset val="1"/>
    </font>
    <font>
      <b val="true"/>
      <sz val="11"/>
      <color rgb="FFFFFFFF"/>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F3D"/>
        <bgColor rgb="FF003300"/>
      </patternFill>
    </fill>
    <fill>
      <patternFill patternType="solid">
        <fgColor rgb="FFF2F5F9"/>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1" fillId="2"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2F5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A1F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23.85" hidden="false" customHeight="false" outlineLevel="0" collapsed="false">
      <c r="A5" s="5" t="s">
        <v>2</v>
      </c>
      <c r="B5" s="4" t="s">
        <v>3</v>
      </c>
    </row>
    <row r="6" customFormat="false" ht="15" hidden="false" customHeight="false" outlineLevel="0" collapsed="false">
      <c r="A6" s="3"/>
      <c r="B6" s="4"/>
    </row>
    <row r="7" customFormat="false" ht="15" hidden="false" customHeight="false" outlineLevel="0" collapsed="false">
      <c r="A7" s="3" t="s">
        <v>4</v>
      </c>
      <c r="B7" s="4" t="s">
        <v>5</v>
      </c>
    </row>
    <row r="8" customFormat="false" ht="15" hidden="false" customHeight="false" outlineLevel="0" collapsed="false">
      <c r="A8" s="3" t="s">
        <v>6</v>
      </c>
      <c r="B8" s="4" t="s">
        <v>7</v>
      </c>
    </row>
    <row r="9" customFormat="false" ht="15" hidden="false" customHeight="false" outlineLevel="0" collapsed="false">
      <c r="A9" s="3" t="s">
        <v>8</v>
      </c>
      <c r="B9" s="4" t="s">
        <v>9</v>
      </c>
    </row>
    <row r="10" customFormat="false" ht="15" hidden="false" customHeight="false" outlineLevel="0" collapsed="false">
      <c r="A10" s="3" t="s">
        <v>10</v>
      </c>
      <c r="B10" s="4" t="s">
        <v>11</v>
      </c>
    </row>
    <row r="11" customFormat="false" ht="15" hidden="false" customHeight="false" outlineLevel="0" collapsed="false">
      <c r="A11" s="3"/>
      <c r="B11" s="4"/>
    </row>
    <row r="12" customFormat="false" ht="23.85" hidden="false" customHeight="false" outlineLevel="0" collapsed="false">
      <c r="A12" s="5" t="s">
        <v>12</v>
      </c>
      <c r="B12" s="4" t="s">
        <v>13</v>
      </c>
    </row>
    <row r="13" customFormat="false" ht="15" hidden="false" customHeight="false" outlineLevel="0" collapsed="false">
      <c r="A13" s="3"/>
      <c r="B13" s="4"/>
    </row>
    <row r="14" customFormat="false" ht="15" hidden="false" customHeight="false" outlineLevel="0" collapsed="false">
      <c r="A14" s="3" t="s">
        <v>14</v>
      </c>
      <c r="B14" s="4"/>
    </row>
    <row r="16" customFormat="false" ht="15" hidden="false" customHeight="false" outlineLevel="0" collapsed="false">
      <c r="A16"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64"/>
  </cols>
  <sheetData>
    <row r="1" customFormat="false" ht="19.7" hidden="false" customHeight="false" outlineLevel="0" collapsed="false">
      <c r="A1" s="1" t="s">
        <v>16</v>
      </c>
    </row>
    <row r="2" customFormat="false" ht="15" hidden="false" customHeight="false" outlineLevel="0" collapsed="false">
      <c r="A2" s="2" t="s">
        <v>17</v>
      </c>
    </row>
    <row r="4" customFormat="false" ht="15" hidden="false" customHeight="false" outlineLevel="0" collapsed="false">
      <c r="A4" s="5" t="s">
        <v>18</v>
      </c>
    </row>
    <row r="5" customFormat="false" ht="15" hidden="false" customHeight="false" outlineLevel="0" collapsed="false">
      <c r="A5" s="7" t="s">
        <v>19</v>
      </c>
      <c r="B5" s="8" t="n">
        <v>0.3</v>
      </c>
      <c r="C5" s="6" t="s">
        <v>20</v>
      </c>
    </row>
    <row r="6" customFormat="false" ht="15" hidden="false" customHeight="false" outlineLevel="0" collapsed="false">
      <c r="A6" s="7" t="s">
        <v>21</v>
      </c>
      <c r="B6" s="9" t="n">
        <v>16000</v>
      </c>
      <c r="C6" s="6" t="s">
        <v>22</v>
      </c>
    </row>
    <row r="7" customFormat="false" ht="15" hidden="false" customHeight="false" outlineLevel="0" collapsed="false">
      <c r="A7" s="7" t="s">
        <v>23</v>
      </c>
      <c r="B7" s="8" t="n">
        <v>0.06</v>
      </c>
      <c r="C7" s="6" t="s">
        <v>24</v>
      </c>
    </row>
    <row r="8" customFormat="false" ht="15" hidden="false" customHeight="false" outlineLevel="0" collapsed="false">
      <c r="A8" s="7" t="s">
        <v>25</v>
      </c>
      <c r="B8" s="9" t="n">
        <v>3000</v>
      </c>
      <c r="C8" s="6" t="s">
        <v>26</v>
      </c>
    </row>
    <row r="9" customFormat="false" ht="15" hidden="false" customHeight="false" outlineLevel="0" collapsed="false">
      <c r="A9" s="7" t="s">
        <v>27</v>
      </c>
      <c r="B9" s="9" t="n">
        <v>150</v>
      </c>
      <c r="C9" s="6" t="s">
        <v>28</v>
      </c>
    </row>
    <row r="11" customFormat="false" ht="15" hidden="false" customHeight="false" outlineLevel="0" collapsed="false">
      <c r="A11" s="5" t="s">
        <v>29</v>
      </c>
    </row>
    <row r="12" customFormat="false" ht="15" hidden="false" customHeight="false" outlineLevel="0" collapsed="false">
      <c r="A12" s="7" t="s">
        <v>30</v>
      </c>
      <c r="B12" s="8" t="n">
        <v>0.3</v>
      </c>
      <c r="C12" s="6" t="s">
        <v>31</v>
      </c>
    </row>
    <row r="13" customFormat="false" ht="15" hidden="false" customHeight="false" outlineLevel="0" collapsed="false">
      <c r="A13" s="7" t="s">
        <v>32</v>
      </c>
      <c r="B13" s="8" t="n">
        <v>0.05</v>
      </c>
      <c r="C13" s="6" t="s">
        <v>33</v>
      </c>
    </row>
    <row r="14" customFormat="false" ht="15" hidden="false" customHeight="false" outlineLevel="0" collapsed="false">
      <c r="A14" s="7" t="s">
        <v>34</v>
      </c>
      <c r="B14" s="8" t="n">
        <v>0.5</v>
      </c>
      <c r="C14" s="6"/>
    </row>
    <row r="15" customFormat="false" ht="15" hidden="false" customHeight="false" outlineLevel="0" collapsed="false">
      <c r="A15" s="7" t="s">
        <v>35</v>
      </c>
      <c r="B15" s="8" t="n">
        <v>0.15</v>
      </c>
      <c r="C15" s="6"/>
    </row>
    <row r="16" customFormat="false" ht="15" hidden="false" customHeight="false" outlineLevel="0" collapsed="false">
      <c r="A16" s="3" t="s">
        <v>36</v>
      </c>
      <c r="B16" s="10" t="n">
        <f aca="false">B12+B13+B14+B15</f>
        <v>1</v>
      </c>
    </row>
    <row r="18" customFormat="false" ht="15" hidden="false" customHeight="false" outlineLevel="0" collapsed="false">
      <c r="A18"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4"/>
    <col collapsed="false" customWidth="true" hidden="false" outlineLevel="0" max="4" min="4" style="0" width="9"/>
    <col collapsed="false" customWidth="true" hidden="false" outlineLevel="0" max="6" min="5" style="0" width="13"/>
    <col collapsed="false" customWidth="true" hidden="false" outlineLevel="0" max="7" min="7" style="0" width="15"/>
    <col collapsed="false" customWidth="true" hidden="false" outlineLevel="0" max="8" min="8" style="0" width="10"/>
    <col collapsed="false" customWidth="true" hidden="false" outlineLevel="0" max="9" min="9" style="0" width="14"/>
    <col collapsed="false" customWidth="true" hidden="false" outlineLevel="0" max="11" min="10" style="0" width="12"/>
    <col collapsed="false" customWidth="true" hidden="false" outlineLevel="0" max="14" min="12" style="0" width="13"/>
  </cols>
  <sheetData>
    <row r="1" customFormat="false" ht="19.7" hidden="false" customHeight="false" outlineLevel="0" collapsed="false">
      <c r="A1" s="1" t="s">
        <v>37</v>
      </c>
    </row>
    <row r="2" customFormat="false" ht="15" hidden="false" customHeight="false" outlineLevel="0" collapsed="false">
      <c r="A2" s="2" t="s">
        <v>38</v>
      </c>
    </row>
    <row r="4" customFormat="false" ht="39.55" hidden="false" customHeight="false" outlineLevel="0" collapsed="false">
      <c r="A4" s="11" t="s">
        <v>39</v>
      </c>
      <c r="B4" s="11" t="s">
        <v>40</v>
      </c>
      <c r="C4" s="11" t="s">
        <v>41</v>
      </c>
      <c r="D4" s="11" t="s">
        <v>42</v>
      </c>
      <c r="E4" s="11" t="s">
        <v>43</v>
      </c>
      <c r="F4" s="11" t="s">
        <v>44</v>
      </c>
      <c r="G4" s="11" t="s">
        <v>45</v>
      </c>
      <c r="H4" s="11" t="s">
        <v>46</v>
      </c>
      <c r="I4" s="11" t="s">
        <v>47</v>
      </c>
      <c r="J4" s="11" t="s">
        <v>48</v>
      </c>
      <c r="K4" s="11" t="s">
        <v>49</v>
      </c>
      <c r="L4" s="11" t="s">
        <v>50</v>
      </c>
      <c r="M4" s="11" t="s">
        <v>51</v>
      </c>
      <c r="N4" s="11" t="s">
        <v>52</v>
      </c>
    </row>
    <row r="5" customFormat="false" ht="15" hidden="false" customHeight="false" outlineLevel="0" collapsed="false">
      <c r="A5" s="12" t="s">
        <v>53</v>
      </c>
      <c r="B5" s="12" t="s">
        <v>54</v>
      </c>
      <c r="C5" s="13" t="n">
        <v>950000</v>
      </c>
      <c r="D5" s="14" t="n">
        <v>0.025</v>
      </c>
      <c r="E5" s="15" t="n">
        <f aca="false">IF($C5="","",$C5*$D5)</f>
        <v>23750</v>
      </c>
      <c r="F5" s="15" t="n">
        <f aca="false">IF($C5="","",MAX(0,MIN(Settings!$B$7*E5,Settings!$B$8-0)))</f>
        <v>1425</v>
      </c>
      <c r="G5" s="15" t="n">
        <f aca="false">IF($C5="","",MAX(0,MIN(Settings!$B$5*E5,Settings!$B$6-0)))</f>
        <v>7125</v>
      </c>
      <c r="H5" s="15" t="n">
        <f aca="false">IF($C5="","",Settings!$B$9)</f>
        <v>150</v>
      </c>
      <c r="I5" s="15" t="n">
        <f aca="false">IF($C5="","",E5-F5-G5-H5)</f>
        <v>15050</v>
      </c>
      <c r="J5" s="15" t="n">
        <f aca="false">IF($C5="","",$I5*Settings!$B$12)</f>
        <v>4515</v>
      </c>
      <c r="K5" s="15" t="n">
        <f aca="false">IF($C5="","",$I5*Settings!$B$13)</f>
        <v>752.5</v>
      </c>
      <c r="L5" s="15" t="n">
        <f aca="false">IF($C5="","",$I5*Settings!$B$14)</f>
        <v>7525</v>
      </c>
      <c r="M5" s="15" t="n">
        <f aca="false">IF($C5="","",$I5*Settings!$B$15)</f>
        <v>2257.5</v>
      </c>
      <c r="N5" s="15" t="n">
        <f aca="false">IF($C5="","",SUM(G$5:G5))</f>
        <v>7125</v>
      </c>
    </row>
    <row r="6" customFormat="false" ht="15" hidden="false" customHeight="false" outlineLevel="0" collapsed="false">
      <c r="A6" s="12" t="s">
        <v>55</v>
      </c>
      <c r="B6" s="12" t="s">
        <v>56</v>
      </c>
      <c r="C6" s="13" t="n">
        <v>1250000</v>
      </c>
      <c r="D6" s="14" t="n">
        <v>0.025</v>
      </c>
      <c r="E6" s="15" t="n">
        <f aca="false">IF($C6="","",$C6*$D6)</f>
        <v>31250</v>
      </c>
      <c r="F6" s="15" t="n">
        <f aca="false">IF($C6="","",MAX(0,MIN(Settings!$B$7*E6,Settings!$B$8-SUM(F$5:F5))))</f>
        <v>1575</v>
      </c>
      <c r="G6" s="15" t="n">
        <f aca="false">IF($C6="","",MAX(0,MIN(Settings!$B$5*E6,Settings!$B$6-SUM(G$5:G5))))</f>
        <v>8875</v>
      </c>
      <c r="H6" s="15" t="n">
        <f aca="false">IF($C6="","",Settings!$B$9)</f>
        <v>150</v>
      </c>
      <c r="I6" s="15" t="n">
        <f aca="false">IF($C6="","",E6-F6-G6-H6)</f>
        <v>20650</v>
      </c>
      <c r="J6" s="15" t="n">
        <f aca="false">IF($C6="","",$I6*Settings!$B$12)</f>
        <v>6195</v>
      </c>
      <c r="K6" s="15" t="n">
        <f aca="false">IF($C6="","",$I6*Settings!$B$13)</f>
        <v>1032.5</v>
      </c>
      <c r="L6" s="15" t="n">
        <f aca="false">IF($C6="","",$I6*Settings!$B$14)</f>
        <v>10325</v>
      </c>
      <c r="M6" s="15" t="n">
        <f aca="false">IF($C6="","",$I6*Settings!$B$15)</f>
        <v>3097.5</v>
      </c>
      <c r="N6" s="15" t="n">
        <f aca="false">IF($C6="","",SUM(G$5:G6))</f>
        <v>16000</v>
      </c>
    </row>
    <row r="7" customFormat="false" ht="15" hidden="false" customHeight="false" outlineLevel="0" collapsed="false">
      <c r="A7" s="12" t="s">
        <v>57</v>
      </c>
      <c r="B7" s="12" t="s">
        <v>58</v>
      </c>
      <c r="C7" s="13" t="n">
        <v>760000</v>
      </c>
      <c r="D7" s="14" t="n">
        <v>0.03</v>
      </c>
      <c r="E7" s="15" t="n">
        <f aca="false">IF($C7="","",$C7*$D7)</f>
        <v>22800</v>
      </c>
      <c r="F7" s="15" t="n">
        <f aca="false">IF($C7="","",MAX(0,MIN(Settings!$B$7*E7,Settings!$B$8-SUM(F$5:F6))))</f>
        <v>0</v>
      </c>
      <c r="G7" s="15" t="n">
        <f aca="false">IF($C7="","",MAX(0,MIN(Settings!$B$5*E7,Settings!$B$6-SUM(G$5:G6))))</f>
        <v>0</v>
      </c>
      <c r="H7" s="15" t="n">
        <f aca="false">IF($C7="","",Settings!$B$9)</f>
        <v>150</v>
      </c>
      <c r="I7" s="15" t="n">
        <f aca="false">IF($C7="","",E7-F7-G7-H7)</f>
        <v>22650</v>
      </c>
      <c r="J7" s="15" t="n">
        <f aca="false">IF($C7="","",$I7*Settings!$B$12)</f>
        <v>6795</v>
      </c>
      <c r="K7" s="15" t="n">
        <f aca="false">IF($C7="","",$I7*Settings!$B$13)</f>
        <v>1132.5</v>
      </c>
      <c r="L7" s="15" t="n">
        <f aca="false">IF($C7="","",$I7*Settings!$B$14)</f>
        <v>11325</v>
      </c>
      <c r="M7" s="15" t="n">
        <f aca="false">IF($C7="","",$I7*Settings!$B$15)</f>
        <v>3397.5</v>
      </c>
      <c r="N7" s="15" t="n">
        <f aca="false">IF($C7="","",SUM(G$5:G7))</f>
        <v>16000</v>
      </c>
    </row>
    <row r="8" customFormat="false" ht="15" hidden="false" customHeight="false" outlineLevel="0" collapsed="false">
      <c r="A8" s="12"/>
      <c r="B8" s="12"/>
      <c r="C8" s="13"/>
      <c r="D8" s="14"/>
      <c r="E8" s="15" t="str">
        <f aca="false">IF($C8="","",$C8*$D8)</f>
        <v/>
      </c>
      <c r="F8" s="15" t="str">
        <f aca="false">IF($C8="","",MAX(0,MIN(Settings!$B$7*E8,Settings!$B$8-SUM(F$5:F7))))</f>
        <v/>
      </c>
      <c r="G8" s="15" t="str">
        <f aca="false">IF($C8="","",MAX(0,MIN(Settings!$B$5*E8,Settings!$B$6-SUM(G$5:G7))))</f>
        <v/>
      </c>
      <c r="H8" s="15" t="str">
        <f aca="false">IF($C8="","",Settings!$B$9)</f>
        <v/>
      </c>
      <c r="I8" s="15" t="str">
        <f aca="false">IF($C8="","",E8-F8-G8-H8)</f>
        <v/>
      </c>
      <c r="J8" s="15" t="str">
        <f aca="false">IF($C8="","",$I8*Settings!$B$12)</f>
        <v/>
      </c>
      <c r="K8" s="15" t="str">
        <f aca="false">IF($C8="","",$I8*Settings!$B$13)</f>
        <v/>
      </c>
      <c r="L8" s="15" t="str">
        <f aca="false">IF($C8="","",$I8*Settings!$B$14)</f>
        <v/>
      </c>
      <c r="M8" s="15" t="str">
        <f aca="false">IF($C8="","",$I8*Settings!$B$15)</f>
        <v/>
      </c>
      <c r="N8" s="15" t="str">
        <f aca="false">IF($C8="","",SUM(G$5:G8))</f>
        <v/>
      </c>
    </row>
    <row r="9" customFormat="false" ht="15" hidden="false" customHeight="false" outlineLevel="0" collapsed="false">
      <c r="A9" s="12"/>
      <c r="B9" s="12"/>
      <c r="C9" s="13"/>
      <c r="D9" s="14"/>
      <c r="E9" s="15" t="str">
        <f aca="false">IF($C9="","",$C9*$D9)</f>
        <v/>
      </c>
      <c r="F9" s="15" t="str">
        <f aca="false">IF($C9="","",MAX(0,MIN(Settings!$B$7*E9,Settings!$B$8-SUM(F$5:F8))))</f>
        <v/>
      </c>
      <c r="G9" s="15" t="str">
        <f aca="false">IF($C9="","",MAX(0,MIN(Settings!$B$5*E9,Settings!$B$6-SUM(G$5:G8))))</f>
        <v/>
      </c>
      <c r="H9" s="15" t="str">
        <f aca="false">IF($C9="","",Settings!$B$9)</f>
        <v/>
      </c>
      <c r="I9" s="15" t="str">
        <f aca="false">IF($C9="","",E9-F9-G9-H9)</f>
        <v/>
      </c>
      <c r="J9" s="15" t="str">
        <f aca="false">IF($C9="","",$I9*Settings!$B$12)</f>
        <v/>
      </c>
      <c r="K9" s="15" t="str">
        <f aca="false">IF($C9="","",$I9*Settings!$B$13)</f>
        <v/>
      </c>
      <c r="L9" s="15" t="str">
        <f aca="false">IF($C9="","",$I9*Settings!$B$14)</f>
        <v/>
      </c>
      <c r="M9" s="15" t="str">
        <f aca="false">IF($C9="","",$I9*Settings!$B$15)</f>
        <v/>
      </c>
      <c r="N9" s="15" t="str">
        <f aca="false">IF($C9="","",SUM(G$5:G9))</f>
        <v/>
      </c>
    </row>
    <row r="10" customFormat="false" ht="15" hidden="false" customHeight="false" outlineLevel="0" collapsed="false">
      <c r="A10" s="12"/>
      <c r="B10" s="12"/>
      <c r="C10" s="13"/>
      <c r="D10" s="14"/>
      <c r="E10" s="15" t="str">
        <f aca="false">IF($C10="","",$C10*$D10)</f>
        <v/>
      </c>
      <c r="F10" s="15" t="str">
        <f aca="false">IF($C10="","",MAX(0,MIN(Settings!$B$7*E10,Settings!$B$8-SUM(F$5:F9))))</f>
        <v/>
      </c>
      <c r="G10" s="15" t="str">
        <f aca="false">IF($C10="","",MAX(0,MIN(Settings!$B$5*E10,Settings!$B$6-SUM(G$5:G9))))</f>
        <v/>
      </c>
      <c r="H10" s="15" t="str">
        <f aca="false">IF($C10="","",Settings!$B$9)</f>
        <v/>
      </c>
      <c r="I10" s="15" t="str">
        <f aca="false">IF($C10="","",E10-F10-G10-H10)</f>
        <v/>
      </c>
      <c r="J10" s="15" t="str">
        <f aca="false">IF($C10="","",$I10*Settings!$B$12)</f>
        <v/>
      </c>
      <c r="K10" s="15" t="str">
        <f aca="false">IF($C10="","",$I10*Settings!$B$13)</f>
        <v/>
      </c>
      <c r="L10" s="15" t="str">
        <f aca="false">IF($C10="","",$I10*Settings!$B$14)</f>
        <v/>
      </c>
      <c r="M10" s="15" t="str">
        <f aca="false">IF($C10="","",$I10*Settings!$B$15)</f>
        <v/>
      </c>
      <c r="N10" s="15" t="str">
        <f aca="false">IF($C10="","",SUM(G$5:G10))</f>
        <v/>
      </c>
    </row>
    <row r="11" customFormat="false" ht="15" hidden="false" customHeight="false" outlineLevel="0" collapsed="false">
      <c r="A11" s="12"/>
      <c r="B11" s="12"/>
      <c r="C11" s="13"/>
      <c r="D11" s="14"/>
      <c r="E11" s="15" t="str">
        <f aca="false">IF($C11="","",$C11*$D11)</f>
        <v/>
      </c>
      <c r="F11" s="15" t="str">
        <f aca="false">IF($C11="","",MAX(0,MIN(Settings!$B$7*E11,Settings!$B$8-SUM(F$5:F10))))</f>
        <v/>
      </c>
      <c r="G11" s="15" t="str">
        <f aca="false">IF($C11="","",MAX(0,MIN(Settings!$B$5*E11,Settings!$B$6-SUM(G$5:G10))))</f>
        <v/>
      </c>
      <c r="H11" s="15" t="str">
        <f aca="false">IF($C11="","",Settings!$B$9)</f>
        <v/>
      </c>
      <c r="I11" s="15" t="str">
        <f aca="false">IF($C11="","",E11-F11-G11-H11)</f>
        <v/>
      </c>
      <c r="J11" s="15" t="str">
        <f aca="false">IF($C11="","",$I11*Settings!$B$12)</f>
        <v/>
      </c>
      <c r="K11" s="15" t="str">
        <f aca="false">IF($C11="","",$I11*Settings!$B$13)</f>
        <v/>
      </c>
      <c r="L11" s="15" t="str">
        <f aca="false">IF($C11="","",$I11*Settings!$B$14)</f>
        <v/>
      </c>
      <c r="M11" s="15" t="str">
        <f aca="false">IF($C11="","",$I11*Settings!$B$15)</f>
        <v/>
      </c>
      <c r="N11" s="15" t="str">
        <f aca="false">IF($C11="","",SUM(G$5:G11))</f>
        <v/>
      </c>
    </row>
    <row r="12" customFormat="false" ht="15" hidden="false" customHeight="false" outlineLevel="0" collapsed="false">
      <c r="A12" s="12"/>
      <c r="B12" s="12"/>
      <c r="C12" s="13"/>
      <c r="D12" s="14"/>
      <c r="E12" s="15" t="str">
        <f aca="false">IF($C12="","",$C12*$D12)</f>
        <v/>
      </c>
      <c r="F12" s="15" t="str">
        <f aca="false">IF($C12="","",MAX(0,MIN(Settings!$B$7*E12,Settings!$B$8-SUM(F$5:F11))))</f>
        <v/>
      </c>
      <c r="G12" s="15" t="str">
        <f aca="false">IF($C12="","",MAX(0,MIN(Settings!$B$5*E12,Settings!$B$6-SUM(G$5:G11))))</f>
        <v/>
      </c>
      <c r="H12" s="15" t="str">
        <f aca="false">IF($C12="","",Settings!$B$9)</f>
        <v/>
      </c>
      <c r="I12" s="15" t="str">
        <f aca="false">IF($C12="","",E12-F12-G12-H12)</f>
        <v/>
      </c>
      <c r="J12" s="15" t="str">
        <f aca="false">IF($C12="","",$I12*Settings!$B$12)</f>
        <v/>
      </c>
      <c r="K12" s="15" t="str">
        <f aca="false">IF($C12="","",$I12*Settings!$B$13)</f>
        <v/>
      </c>
      <c r="L12" s="15" t="str">
        <f aca="false">IF($C12="","",$I12*Settings!$B$14)</f>
        <v/>
      </c>
      <c r="M12" s="15" t="str">
        <f aca="false">IF($C12="","",$I12*Settings!$B$15)</f>
        <v/>
      </c>
      <c r="N12" s="15" t="str">
        <f aca="false">IF($C12="","",SUM(G$5:G12))</f>
        <v/>
      </c>
    </row>
    <row r="13" customFormat="false" ht="15" hidden="false" customHeight="false" outlineLevel="0" collapsed="false">
      <c r="A13" s="12"/>
      <c r="B13" s="12"/>
      <c r="C13" s="13"/>
      <c r="D13" s="14"/>
      <c r="E13" s="15" t="str">
        <f aca="false">IF($C13="","",$C13*$D13)</f>
        <v/>
      </c>
      <c r="F13" s="15" t="str">
        <f aca="false">IF($C13="","",MAX(0,MIN(Settings!$B$7*E13,Settings!$B$8-SUM(F$5:F12))))</f>
        <v/>
      </c>
      <c r="G13" s="15" t="str">
        <f aca="false">IF($C13="","",MAX(0,MIN(Settings!$B$5*E13,Settings!$B$6-SUM(G$5:G12))))</f>
        <v/>
      </c>
      <c r="H13" s="15" t="str">
        <f aca="false">IF($C13="","",Settings!$B$9)</f>
        <v/>
      </c>
      <c r="I13" s="15" t="str">
        <f aca="false">IF($C13="","",E13-F13-G13-H13)</f>
        <v/>
      </c>
      <c r="J13" s="15" t="str">
        <f aca="false">IF($C13="","",$I13*Settings!$B$12)</f>
        <v/>
      </c>
      <c r="K13" s="15" t="str">
        <f aca="false">IF($C13="","",$I13*Settings!$B$13)</f>
        <v/>
      </c>
      <c r="L13" s="15" t="str">
        <f aca="false">IF($C13="","",$I13*Settings!$B$14)</f>
        <v/>
      </c>
      <c r="M13" s="15" t="str">
        <f aca="false">IF($C13="","",$I13*Settings!$B$15)</f>
        <v/>
      </c>
      <c r="N13" s="15" t="str">
        <f aca="false">IF($C13="","",SUM(G$5:G13))</f>
        <v/>
      </c>
    </row>
    <row r="14" customFormat="false" ht="15" hidden="false" customHeight="false" outlineLevel="0" collapsed="false">
      <c r="A14" s="12"/>
      <c r="B14" s="12"/>
      <c r="C14" s="13"/>
      <c r="D14" s="14"/>
      <c r="E14" s="15" t="str">
        <f aca="false">IF($C14="","",$C14*$D14)</f>
        <v/>
      </c>
      <c r="F14" s="15" t="str">
        <f aca="false">IF($C14="","",MAX(0,MIN(Settings!$B$7*E14,Settings!$B$8-SUM(F$5:F13))))</f>
        <v/>
      </c>
      <c r="G14" s="15" t="str">
        <f aca="false">IF($C14="","",MAX(0,MIN(Settings!$B$5*E14,Settings!$B$6-SUM(G$5:G13))))</f>
        <v/>
      </c>
      <c r="H14" s="15" t="str">
        <f aca="false">IF($C14="","",Settings!$B$9)</f>
        <v/>
      </c>
      <c r="I14" s="15" t="str">
        <f aca="false">IF($C14="","",E14-F14-G14-H14)</f>
        <v/>
      </c>
      <c r="J14" s="15" t="str">
        <f aca="false">IF($C14="","",$I14*Settings!$B$12)</f>
        <v/>
      </c>
      <c r="K14" s="15" t="str">
        <f aca="false">IF($C14="","",$I14*Settings!$B$13)</f>
        <v/>
      </c>
      <c r="L14" s="15" t="str">
        <f aca="false">IF($C14="","",$I14*Settings!$B$14)</f>
        <v/>
      </c>
      <c r="M14" s="15" t="str">
        <f aca="false">IF($C14="","",$I14*Settings!$B$15)</f>
        <v/>
      </c>
      <c r="N14" s="15" t="str">
        <f aca="false">IF($C14="","",SUM(G$5:G14))</f>
        <v/>
      </c>
    </row>
    <row r="15" customFormat="false" ht="15" hidden="false" customHeight="false" outlineLevel="0" collapsed="false">
      <c r="A15" s="12"/>
      <c r="B15" s="12"/>
      <c r="C15" s="13"/>
      <c r="D15" s="14"/>
      <c r="E15" s="15" t="str">
        <f aca="false">IF($C15="","",$C15*$D15)</f>
        <v/>
      </c>
      <c r="F15" s="15" t="str">
        <f aca="false">IF($C15="","",MAX(0,MIN(Settings!$B$7*E15,Settings!$B$8-SUM(F$5:F14))))</f>
        <v/>
      </c>
      <c r="G15" s="15" t="str">
        <f aca="false">IF($C15="","",MAX(0,MIN(Settings!$B$5*E15,Settings!$B$6-SUM(G$5:G14))))</f>
        <v/>
      </c>
      <c r="H15" s="15" t="str">
        <f aca="false">IF($C15="","",Settings!$B$9)</f>
        <v/>
      </c>
      <c r="I15" s="15" t="str">
        <f aca="false">IF($C15="","",E15-F15-G15-H15)</f>
        <v/>
      </c>
      <c r="J15" s="15" t="str">
        <f aca="false">IF($C15="","",$I15*Settings!$B$12)</f>
        <v/>
      </c>
      <c r="K15" s="15" t="str">
        <f aca="false">IF($C15="","",$I15*Settings!$B$13)</f>
        <v/>
      </c>
      <c r="L15" s="15" t="str">
        <f aca="false">IF($C15="","",$I15*Settings!$B$14)</f>
        <v/>
      </c>
      <c r="M15" s="15" t="str">
        <f aca="false">IF($C15="","",$I15*Settings!$B$15)</f>
        <v/>
      </c>
      <c r="N15" s="15" t="str">
        <f aca="false">IF($C15="","",SUM(G$5:G15))</f>
        <v/>
      </c>
    </row>
    <row r="16" customFormat="false" ht="15" hidden="false" customHeight="false" outlineLevel="0" collapsed="false">
      <c r="A16" s="12"/>
      <c r="B16" s="12"/>
      <c r="C16" s="13"/>
      <c r="D16" s="14"/>
      <c r="E16" s="15" t="str">
        <f aca="false">IF($C16="","",$C16*$D16)</f>
        <v/>
      </c>
      <c r="F16" s="15" t="str">
        <f aca="false">IF($C16="","",MAX(0,MIN(Settings!$B$7*E16,Settings!$B$8-SUM(F$5:F15))))</f>
        <v/>
      </c>
      <c r="G16" s="15" t="str">
        <f aca="false">IF($C16="","",MAX(0,MIN(Settings!$B$5*E16,Settings!$B$6-SUM(G$5:G15))))</f>
        <v/>
      </c>
      <c r="H16" s="15" t="str">
        <f aca="false">IF($C16="","",Settings!$B$9)</f>
        <v/>
      </c>
      <c r="I16" s="15" t="str">
        <f aca="false">IF($C16="","",E16-F16-G16-H16)</f>
        <v/>
      </c>
      <c r="J16" s="15" t="str">
        <f aca="false">IF($C16="","",$I16*Settings!$B$12)</f>
        <v/>
      </c>
      <c r="K16" s="15" t="str">
        <f aca="false">IF($C16="","",$I16*Settings!$B$13)</f>
        <v/>
      </c>
      <c r="L16" s="15" t="str">
        <f aca="false">IF($C16="","",$I16*Settings!$B$14)</f>
        <v/>
      </c>
      <c r="M16" s="15" t="str">
        <f aca="false">IF($C16="","",$I16*Settings!$B$15)</f>
        <v/>
      </c>
      <c r="N16" s="15" t="str">
        <f aca="false">IF($C16="","",SUM(G$5:G16))</f>
        <v/>
      </c>
    </row>
    <row r="17" customFormat="false" ht="15" hidden="false" customHeight="false" outlineLevel="0" collapsed="false">
      <c r="A17" s="12"/>
      <c r="B17" s="12"/>
      <c r="C17" s="13"/>
      <c r="D17" s="14"/>
      <c r="E17" s="15" t="str">
        <f aca="false">IF($C17="","",$C17*$D17)</f>
        <v/>
      </c>
      <c r="F17" s="15" t="str">
        <f aca="false">IF($C17="","",MAX(0,MIN(Settings!$B$7*E17,Settings!$B$8-SUM(F$5:F16))))</f>
        <v/>
      </c>
      <c r="G17" s="15" t="str">
        <f aca="false">IF($C17="","",MAX(0,MIN(Settings!$B$5*E17,Settings!$B$6-SUM(G$5:G16))))</f>
        <v/>
      </c>
      <c r="H17" s="15" t="str">
        <f aca="false">IF($C17="","",Settings!$B$9)</f>
        <v/>
      </c>
      <c r="I17" s="15" t="str">
        <f aca="false">IF($C17="","",E17-F17-G17-H17)</f>
        <v/>
      </c>
      <c r="J17" s="15" t="str">
        <f aca="false">IF($C17="","",$I17*Settings!$B$12)</f>
        <v/>
      </c>
      <c r="K17" s="15" t="str">
        <f aca="false">IF($C17="","",$I17*Settings!$B$13)</f>
        <v/>
      </c>
      <c r="L17" s="15" t="str">
        <f aca="false">IF($C17="","",$I17*Settings!$B$14)</f>
        <v/>
      </c>
      <c r="M17" s="15" t="str">
        <f aca="false">IF($C17="","",$I17*Settings!$B$15)</f>
        <v/>
      </c>
      <c r="N17" s="15" t="str">
        <f aca="false">IF($C17="","",SUM(G$5:G17))</f>
        <v/>
      </c>
    </row>
    <row r="18" customFormat="false" ht="15" hidden="false" customHeight="false" outlineLevel="0" collapsed="false">
      <c r="A18" s="12"/>
      <c r="B18" s="12"/>
      <c r="C18" s="13"/>
      <c r="D18" s="14"/>
      <c r="E18" s="15" t="str">
        <f aca="false">IF($C18="","",$C18*$D18)</f>
        <v/>
      </c>
      <c r="F18" s="15" t="str">
        <f aca="false">IF($C18="","",MAX(0,MIN(Settings!$B$7*E18,Settings!$B$8-SUM(F$5:F17))))</f>
        <v/>
      </c>
      <c r="G18" s="15" t="str">
        <f aca="false">IF($C18="","",MAX(0,MIN(Settings!$B$5*E18,Settings!$B$6-SUM(G$5:G17))))</f>
        <v/>
      </c>
      <c r="H18" s="15" t="str">
        <f aca="false">IF($C18="","",Settings!$B$9)</f>
        <v/>
      </c>
      <c r="I18" s="15" t="str">
        <f aca="false">IF($C18="","",E18-F18-G18-H18)</f>
        <v/>
      </c>
      <c r="J18" s="15" t="str">
        <f aca="false">IF($C18="","",$I18*Settings!$B$12)</f>
        <v/>
      </c>
      <c r="K18" s="15" t="str">
        <f aca="false">IF($C18="","",$I18*Settings!$B$13)</f>
        <v/>
      </c>
      <c r="L18" s="15" t="str">
        <f aca="false">IF($C18="","",$I18*Settings!$B$14)</f>
        <v/>
      </c>
      <c r="M18" s="15" t="str">
        <f aca="false">IF($C18="","",$I18*Settings!$B$15)</f>
        <v/>
      </c>
      <c r="N18" s="15" t="str">
        <f aca="false">IF($C18="","",SUM(G$5:G18))</f>
        <v/>
      </c>
    </row>
    <row r="19" customFormat="false" ht="15" hidden="false" customHeight="false" outlineLevel="0" collapsed="false">
      <c r="A19" s="12"/>
      <c r="B19" s="12"/>
      <c r="C19" s="13"/>
      <c r="D19" s="14"/>
      <c r="E19" s="15" t="str">
        <f aca="false">IF($C19="","",$C19*$D19)</f>
        <v/>
      </c>
      <c r="F19" s="15" t="str">
        <f aca="false">IF($C19="","",MAX(0,MIN(Settings!$B$7*E19,Settings!$B$8-SUM(F$5:F18))))</f>
        <v/>
      </c>
      <c r="G19" s="15" t="str">
        <f aca="false">IF($C19="","",MAX(0,MIN(Settings!$B$5*E19,Settings!$B$6-SUM(G$5:G18))))</f>
        <v/>
      </c>
      <c r="H19" s="15" t="str">
        <f aca="false">IF($C19="","",Settings!$B$9)</f>
        <v/>
      </c>
      <c r="I19" s="15" t="str">
        <f aca="false">IF($C19="","",E19-F19-G19-H19)</f>
        <v/>
      </c>
      <c r="J19" s="15" t="str">
        <f aca="false">IF($C19="","",$I19*Settings!$B$12)</f>
        <v/>
      </c>
      <c r="K19" s="15" t="str">
        <f aca="false">IF($C19="","",$I19*Settings!$B$13)</f>
        <v/>
      </c>
      <c r="L19" s="15" t="str">
        <f aca="false">IF($C19="","",$I19*Settings!$B$14)</f>
        <v/>
      </c>
      <c r="M19" s="15" t="str">
        <f aca="false">IF($C19="","",$I19*Settings!$B$15)</f>
        <v/>
      </c>
      <c r="N19" s="15" t="str">
        <f aca="false">IF($C19="","",SUM(G$5:G19))</f>
        <v/>
      </c>
    </row>
    <row r="20" customFormat="false" ht="15" hidden="false" customHeight="false" outlineLevel="0" collapsed="false">
      <c r="A20" s="12"/>
      <c r="B20" s="12"/>
      <c r="C20" s="13"/>
      <c r="D20" s="14"/>
      <c r="E20" s="15" t="str">
        <f aca="false">IF($C20="","",$C20*$D20)</f>
        <v/>
      </c>
      <c r="F20" s="15" t="str">
        <f aca="false">IF($C20="","",MAX(0,MIN(Settings!$B$7*E20,Settings!$B$8-SUM(F$5:F19))))</f>
        <v/>
      </c>
      <c r="G20" s="15" t="str">
        <f aca="false">IF($C20="","",MAX(0,MIN(Settings!$B$5*E20,Settings!$B$6-SUM(G$5:G19))))</f>
        <v/>
      </c>
      <c r="H20" s="15" t="str">
        <f aca="false">IF($C20="","",Settings!$B$9)</f>
        <v/>
      </c>
      <c r="I20" s="15" t="str">
        <f aca="false">IF($C20="","",E20-F20-G20-H20)</f>
        <v/>
      </c>
      <c r="J20" s="15" t="str">
        <f aca="false">IF($C20="","",$I20*Settings!$B$12)</f>
        <v/>
      </c>
      <c r="K20" s="15" t="str">
        <f aca="false">IF($C20="","",$I20*Settings!$B$13)</f>
        <v/>
      </c>
      <c r="L20" s="15" t="str">
        <f aca="false">IF($C20="","",$I20*Settings!$B$14)</f>
        <v/>
      </c>
      <c r="M20" s="15" t="str">
        <f aca="false">IF($C20="","",$I20*Settings!$B$15)</f>
        <v/>
      </c>
      <c r="N20" s="15" t="str">
        <f aca="false">IF($C20="","",SUM(G$5:G20))</f>
        <v/>
      </c>
    </row>
    <row r="21" customFormat="false" ht="15" hidden="false" customHeight="false" outlineLevel="0" collapsed="false">
      <c r="A21" s="12"/>
      <c r="B21" s="12"/>
      <c r="C21" s="13"/>
      <c r="D21" s="14"/>
      <c r="E21" s="15" t="str">
        <f aca="false">IF($C21="","",$C21*$D21)</f>
        <v/>
      </c>
      <c r="F21" s="15" t="str">
        <f aca="false">IF($C21="","",MAX(0,MIN(Settings!$B$7*E21,Settings!$B$8-SUM(F$5:F20))))</f>
        <v/>
      </c>
      <c r="G21" s="15" t="str">
        <f aca="false">IF($C21="","",MAX(0,MIN(Settings!$B$5*E21,Settings!$B$6-SUM(G$5:G20))))</f>
        <v/>
      </c>
      <c r="H21" s="15" t="str">
        <f aca="false">IF($C21="","",Settings!$B$9)</f>
        <v/>
      </c>
      <c r="I21" s="15" t="str">
        <f aca="false">IF($C21="","",E21-F21-G21-H21)</f>
        <v/>
      </c>
      <c r="J21" s="15" t="str">
        <f aca="false">IF($C21="","",$I21*Settings!$B$12)</f>
        <v/>
      </c>
      <c r="K21" s="15" t="str">
        <f aca="false">IF($C21="","",$I21*Settings!$B$13)</f>
        <v/>
      </c>
      <c r="L21" s="15" t="str">
        <f aca="false">IF($C21="","",$I21*Settings!$B$14)</f>
        <v/>
      </c>
      <c r="M21" s="15" t="str">
        <f aca="false">IF($C21="","",$I21*Settings!$B$15)</f>
        <v/>
      </c>
      <c r="N21" s="15" t="str">
        <f aca="false">IF($C21="","",SUM(G$5:G21))</f>
        <v/>
      </c>
    </row>
    <row r="22" customFormat="false" ht="15" hidden="false" customHeight="false" outlineLevel="0" collapsed="false">
      <c r="A22" s="12"/>
      <c r="B22" s="12"/>
      <c r="C22" s="13"/>
      <c r="D22" s="14"/>
      <c r="E22" s="15" t="str">
        <f aca="false">IF($C22="","",$C22*$D22)</f>
        <v/>
      </c>
      <c r="F22" s="15" t="str">
        <f aca="false">IF($C22="","",MAX(0,MIN(Settings!$B$7*E22,Settings!$B$8-SUM(F$5:F21))))</f>
        <v/>
      </c>
      <c r="G22" s="15" t="str">
        <f aca="false">IF($C22="","",MAX(0,MIN(Settings!$B$5*E22,Settings!$B$6-SUM(G$5:G21))))</f>
        <v/>
      </c>
      <c r="H22" s="15" t="str">
        <f aca="false">IF($C22="","",Settings!$B$9)</f>
        <v/>
      </c>
      <c r="I22" s="15" t="str">
        <f aca="false">IF($C22="","",E22-F22-G22-H22)</f>
        <v/>
      </c>
      <c r="J22" s="15" t="str">
        <f aca="false">IF($C22="","",$I22*Settings!$B$12)</f>
        <v/>
      </c>
      <c r="K22" s="15" t="str">
        <f aca="false">IF($C22="","",$I22*Settings!$B$13)</f>
        <v/>
      </c>
      <c r="L22" s="15" t="str">
        <f aca="false">IF($C22="","",$I22*Settings!$B$14)</f>
        <v/>
      </c>
      <c r="M22" s="15" t="str">
        <f aca="false">IF($C22="","",$I22*Settings!$B$15)</f>
        <v/>
      </c>
      <c r="N22" s="15" t="str">
        <f aca="false">IF($C22="","",SUM(G$5:G22))</f>
        <v/>
      </c>
    </row>
    <row r="23" customFormat="false" ht="15" hidden="false" customHeight="false" outlineLevel="0" collapsed="false">
      <c r="A23" s="12"/>
      <c r="B23" s="12"/>
      <c r="C23" s="13"/>
      <c r="D23" s="14"/>
      <c r="E23" s="15" t="str">
        <f aca="false">IF($C23="","",$C23*$D23)</f>
        <v/>
      </c>
      <c r="F23" s="15" t="str">
        <f aca="false">IF($C23="","",MAX(0,MIN(Settings!$B$7*E23,Settings!$B$8-SUM(F$5:F22))))</f>
        <v/>
      </c>
      <c r="G23" s="15" t="str">
        <f aca="false">IF($C23="","",MAX(0,MIN(Settings!$B$5*E23,Settings!$B$6-SUM(G$5:G22))))</f>
        <v/>
      </c>
      <c r="H23" s="15" t="str">
        <f aca="false">IF($C23="","",Settings!$B$9)</f>
        <v/>
      </c>
      <c r="I23" s="15" t="str">
        <f aca="false">IF($C23="","",E23-F23-G23-H23)</f>
        <v/>
      </c>
      <c r="J23" s="15" t="str">
        <f aca="false">IF($C23="","",$I23*Settings!$B$12)</f>
        <v/>
      </c>
      <c r="K23" s="15" t="str">
        <f aca="false">IF($C23="","",$I23*Settings!$B$13)</f>
        <v/>
      </c>
      <c r="L23" s="15" t="str">
        <f aca="false">IF($C23="","",$I23*Settings!$B$14)</f>
        <v/>
      </c>
      <c r="M23" s="15" t="str">
        <f aca="false">IF($C23="","",$I23*Settings!$B$15)</f>
        <v/>
      </c>
      <c r="N23" s="15" t="str">
        <f aca="false">IF($C23="","",SUM(G$5:G23))</f>
        <v/>
      </c>
    </row>
    <row r="24" customFormat="false" ht="15" hidden="false" customHeight="false" outlineLevel="0" collapsed="false">
      <c r="A24" s="12"/>
      <c r="B24" s="12"/>
      <c r="C24" s="13"/>
      <c r="D24" s="14"/>
      <c r="E24" s="15" t="str">
        <f aca="false">IF($C24="","",$C24*$D24)</f>
        <v/>
      </c>
      <c r="F24" s="15" t="str">
        <f aca="false">IF($C24="","",MAX(0,MIN(Settings!$B$7*E24,Settings!$B$8-SUM(F$5:F23))))</f>
        <v/>
      </c>
      <c r="G24" s="15" t="str">
        <f aca="false">IF($C24="","",MAX(0,MIN(Settings!$B$5*E24,Settings!$B$6-SUM(G$5:G23))))</f>
        <v/>
      </c>
      <c r="H24" s="15" t="str">
        <f aca="false">IF($C24="","",Settings!$B$9)</f>
        <v/>
      </c>
      <c r="I24" s="15" t="str">
        <f aca="false">IF($C24="","",E24-F24-G24-H24)</f>
        <v/>
      </c>
      <c r="J24" s="15" t="str">
        <f aca="false">IF($C24="","",$I24*Settings!$B$12)</f>
        <v/>
      </c>
      <c r="K24" s="15" t="str">
        <f aca="false">IF($C24="","",$I24*Settings!$B$13)</f>
        <v/>
      </c>
      <c r="L24" s="15" t="str">
        <f aca="false">IF($C24="","",$I24*Settings!$B$14)</f>
        <v/>
      </c>
      <c r="M24" s="15" t="str">
        <f aca="false">IF($C24="","",$I24*Settings!$B$15)</f>
        <v/>
      </c>
      <c r="N24" s="15" t="str">
        <f aca="false">IF($C24="","",SUM(G$5:G24))</f>
        <v/>
      </c>
    </row>
    <row r="25" customFormat="false" ht="15" hidden="false" customHeight="false" outlineLevel="0" collapsed="false">
      <c r="A25" s="12"/>
      <c r="B25" s="12"/>
      <c r="C25" s="13"/>
      <c r="D25" s="14"/>
      <c r="E25" s="15" t="str">
        <f aca="false">IF($C25="","",$C25*$D25)</f>
        <v/>
      </c>
      <c r="F25" s="15" t="str">
        <f aca="false">IF($C25="","",MAX(0,MIN(Settings!$B$7*E25,Settings!$B$8-SUM(F$5:F24))))</f>
        <v/>
      </c>
      <c r="G25" s="15" t="str">
        <f aca="false">IF($C25="","",MAX(0,MIN(Settings!$B$5*E25,Settings!$B$6-SUM(G$5:G24))))</f>
        <v/>
      </c>
      <c r="H25" s="15" t="str">
        <f aca="false">IF($C25="","",Settings!$B$9)</f>
        <v/>
      </c>
      <c r="I25" s="15" t="str">
        <f aca="false">IF($C25="","",E25-F25-G25-H25)</f>
        <v/>
      </c>
      <c r="J25" s="15" t="str">
        <f aca="false">IF($C25="","",$I25*Settings!$B$12)</f>
        <v/>
      </c>
      <c r="K25" s="15" t="str">
        <f aca="false">IF($C25="","",$I25*Settings!$B$13)</f>
        <v/>
      </c>
      <c r="L25" s="15" t="str">
        <f aca="false">IF($C25="","",$I25*Settings!$B$14)</f>
        <v/>
      </c>
      <c r="M25" s="15" t="str">
        <f aca="false">IF($C25="","",$I25*Settings!$B$15)</f>
        <v/>
      </c>
      <c r="N25" s="15" t="str">
        <f aca="false">IF($C25="","",SUM(G$5:G25))</f>
        <v/>
      </c>
    </row>
    <row r="26" customFormat="false" ht="15" hidden="false" customHeight="false" outlineLevel="0" collapsed="false">
      <c r="A26" s="12"/>
      <c r="B26" s="12"/>
      <c r="C26" s="13"/>
      <c r="D26" s="14"/>
      <c r="E26" s="15" t="str">
        <f aca="false">IF($C26="","",$C26*$D26)</f>
        <v/>
      </c>
      <c r="F26" s="15" t="str">
        <f aca="false">IF($C26="","",MAX(0,MIN(Settings!$B$7*E26,Settings!$B$8-SUM(F$5:F25))))</f>
        <v/>
      </c>
      <c r="G26" s="15" t="str">
        <f aca="false">IF($C26="","",MAX(0,MIN(Settings!$B$5*E26,Settings!$B$6-SUM(G$5:G25))))</f>
        <v/>
      </c>
      <c r="H26" s="15" t="str">
        <f aca="false">IF($C26="","",Settings!$B$9)</f>
        <v/>
      </c>
      <c r="I26" s="15" t="str">
        <f aca="false">IF($C26="","",E26-F26-G26-H26)</f>
        <v/>
      </c>
      <c r="J26" s="15" t="str">
        <f aca="false">IF($C26="","",$I26*Settings!$B$12)</f>
        <v/>
      </c>
      <c r="K26" s="15" t="str">
        <f aca="false">IF($C26="","",$I26*Settings!$B$13)</f>
        <v/>
      </c>
      <c r="L26" s="15" t="str">
        <f aca="false">IF($C26="","",$I26*Settings!$B$14)</f>
        <v/>
      </c>
      <c r="M26" s="15" t="str">
        <f aca="false">IF($C26="","",$I26*Settings!$B$15)</f>
        <v/>
      </c>
      <c r="N26" s="15" t="str">
        <f aca="false">IF($C26="","",SUM(G$5:G26))</f>
        <v/>
      </c>
    </row>
    <row r="27" customFormat="false" ht="15" hidden="false" customHeight="false" outlineLevel="0" collapsed="false">
      <c r="A27" s="12"/>
      <c r="B27" s="12"/>
      <c r="C27" s="13"/>
      <c r="D27" s="14"/>
      <c r="E27" s="15" t="str">
        <f aca="false">IF($C27="","",$C27*$D27)</f>
        <v/>
      </c>
      <c r="F27" s="15" t="str">
        <f aca="false">IF($C27="","",MAX(0,MIN(Settings!$B$7*E27,Settings!$B$8-SUM(F$5:F26))))</f>
        <v/>
      </c>
      <c r="G27" s="15" t="str">
        <f aca="false">IF($C27="","",MAX(0,MIN(Settings!$B$5*E27,Settings!$B$6-SUM(G$5:G26))))</f>
        <v/>
      </c>
      <c r="H27" s="15" t="str">
        <f aca="false">IF($C27="","",Settings!$B$9)</f>
        <v/>
      </c>
      <c r="I27" s="15" t="str">
        <f aca="false">IF($C27="","",E27-F27-G27-H27)</f>
        <v/>
      </c>
      <c r="J27" s="15" t="str">
        <f aca="false">IF($C27="","",$I27*Settings!$B$12)</f>
        <v/>
      </c>
      <c r="K27" s="15" t="str">
        <f aca="false">IF($C27="","",$I27*Settings!$B$13)</f>
        <v/>
      </c>
      <c r="L27" s="15" t="str">
        <f aca="false">IF($C27="","",$I27*Settings!$B$14)</f>
        <v/>
      </c>
      <c r="M27" s="15" t="str">
        <f aca="false">IF($C27="","",$I27*Settings!$B$15)</f>
        <v/>
      </c>
      <c r="N27" s="15" t="str">
        <f aca="false">IF($C27="","",SUM(G$5:G27))</f>
        <v/>
      </c>
    </row>
    <row r="28" customFormat="false" ht="15" hidden="false" customHeight="false" outlineLevel="0" collapsed="false">
      <c r="A28" s="12"/>
      <c r="B28" s="12"/>
      <c r="C28" s="13"/>
      <c r="D28" s="14"/>
      <c r="E28" s="15" t="str">
        <f aca="false">IF($C28="","",$C28*$D28)</f>
        <v/>
      </c>
      <c r="F28" s="15" t="str">
        <f aca="false">IF($C28="","",MAX(0,MIN(Settings!$B$7*E28,Settings!$B$8-SUM(F$5:F27))))</f>
        <v/>
      </c>
      <c r="G28" s="15" t="str">
        <f aca="false">IF($C28="","",MAX(0,MIN(Settings!$B$5*E28,Settings!$B$6-SUM(G$5:G27))))</f>
        <v/>
      </c>
      <c r="H28" s="15" t="str">
        <f aca="false">IF($C28="","",Settings!$B$9)</f>
        <v/>
      </c>
      <c r="I28" s="15" t="str">
        <f aca="false">IF($C28="","",E28-F28-G28-H28)</f>
        <v/>
      </c>
      <c r="J28" s="15" t="str">
        <f aca="false">IF($C28="","",$I28*Settings!$B$12)</f>
        <v/>
      </c>
      <c r="K28" s="15" t="str">
        <f aca="false">IF($C28="","",$I28*Settings!$B$13)</f>
        <v/>
      </c>
      <c r="L28" s="15" t="str">
        <f aca="false">IF($C28="","",$I28*Settings!$B$14)</f>
        <v/>
      </c>
      <c r="M28" s="15" t="str">
        <f aca="false">IF($C28="","",$I28*Settings!$B$15)</f>
        <v/>
      </c>
      <c r="N28" s="15" t="str">
        <f aca="false">IF($C28="","",SUM(G$5:G28))</f>
        <v/>
      </c>
    </row>
    <row r="29" customFormat="false" ht="15" hidden="false" customHeight="false" outlineLevel="0" collapsed="false">
      <c r="A29" s="12"/>
      <c r="B29" s="12"/>
      <c r="C29" s="13"/>
      <c r="D29" s="14"/>
      <c r="E29" s="15" t="str">
        <f aca="false">IF($C29="","",$C29*$D29)</f>
        <v/>
      </c>
      <c r="F29" s="15" t="str">
        <f aca="false">IF($C29="","",MAX(0,MIN(Settings!$B$7*E29,Settings!$B$8-SUM(F$5:F28))))</f>
        <v/>
      </c>
      <c r="G29" s="15" t="str">
        <f aca="false">IF($C29="","",MAX(0,MIN(Settings!$B$5*E29,Settings!$B$6-SUM(G$5:G28))))</f>
        <v/>
      </c>
      <c r="H29" s="15" t="str">
        <f aca="false">IF($C29="","",Settings!$B$9)</f>
        <v/>
      </c>
      <c r="I29" s="15" t="str">
        <f aca="false">IF($C29="","",E29-F29-G29-H29)</f>
        <v/>
      </c>
      <c r="J29" s="15" t="str">
        <f aca="false">IF($C29="","",$I29*Settings!$B$12)</f>
        <v/>
      </c>
      <c r="K29" s="15" t="str">
        <f aca="false">IF($C29="","",$I29*Settings!$B$13)</f>
        <v/>
      </c>
      <c r="L29" s="15" t="str">
        <f aca="false">IF($C29="","",$I29*Settings!$B$14)</f>
        <v/>
      </c>
      <c r="M29" s="15" t="str">
        <f aca="false">IF($C29="","",$I29*Settings!$B$15)</f>
        <v/>
      </c>
      <c r="N29" s="15" t="str">
        <f aca="false">IF($C29="","",SUM(G$5:G29))</f>
        <v/>
      </c>
    </row>
    <row r="30" customFormat="false" ht="15" hidden="false" customHeight="false" outlineLevel="0" collapsed="false">
      <c r="A30" s="12"/>
      <c r="B30" s="12"/>
      <c r="C30" s="13"/>
      <c r="D30" s="14"/>
      <c r="E30" s="15" t="str">
        <f aca="false">IF($C30="","",$C30*$D30)</f>
        <v/>
      </c>
      <c r="F30" s="15" t="str">
        <f aca="false">IF($C30="","",MAX(0,MIN(Settings!$B$7*E30,Settings!$B$8-SUM(F$5:F29))))</f>
        <v/>
      </c>
      <c r="G30" s="15" t="str">
        <f aca="false">IF($C30="","",MAX(0,MIN(Settings!$B$5*E30,Settings!$B$6-SUM(G$5:G29))))</f>
        <v/>
      </c>
      <c r="H30" s="15" t="str">
        <f aca="false">IF($C30="","",Settings!$B$9)</f>
        <v/>
      </c>
      <c r="I30" s="15" t="str">
        <f aca="false">IF($C30="","",E30-F30-G30-H30)</f>
        <v/>
      </c>
      <c r="J30" s="15" t="str">
        <f aca="false">IF($C30="","",$I30*Settings!$B$12)</f>
        <v/>
      </c>
      <c r="K30" s="15" t="str">
        <f aca="false">IF($C30="","",$I30*Settings!$B$13)</f>
        <v/>
      </c>
      <c r="L30" s="15" t="str">
        <f aca="false">IF($C30="","",$I30*Settings!$B$14)</f>
        <v/>
      </c>
      <c r="M30" s="15" t="str">
        <f aca="false">IF($C30="","",$I30*Settings!$B$15)</f>
        <v/>
      </c>
      <c r="N30" s="15" t="str">
        <f aca="false">IF($C30="","",SUM(G$5:G30))</f>
        <v/>
      </c>
    </row>
    <row r="31" customFormat="false" ht="15" hidden="false" customHeight="false" outlineLevel="0" collapsed="false">
      <c r="A31" s="12"/>
      <c r="B31" s="12"/>
      <c r="C31" s="13"/>
      <c r="D31" s="14"/>
      <c r="E31" s="15" t="str">
        <f aca="false">IF($C31="","",$C31*$D31)</f>
        <v/>
      </c>
      <c r="F31" s="15" t="str">
        <f aca="false">IF($C31="","",MAX(0,MIN(Settings!$B$7*E31,Settings!$B$8-SUM(F$5:F30))))</f>
        <v/>
      </c>
      <c r="G31" s="15" t="str">
        <f aca="false">IF($C31="","",MAX(0,MIN(Settings!$B$5*E31,Settings!$B$6-SUM(G$5:G30))))</f>
        <v/>
      </c>
      <c r="H31" s="15" t="str">
        <f aca="false">IF($C31="","",Settings!$B$9)</f>
        <v/>
      </c>
      <c r="I31" s="15" t="str">
        <f aca="false">IF($C31="","",E31-F31-G31-H31)</f>
        <v/>
      </c>
      <c r="J31" s="15" t="str">
        <f aca="false">IF($C31="","",$I31*Settings!$B$12)</f>
        <v/>
      </c>
      <c r="K31" s="15" t="str">
        <f aca="false">IF($C31="","",$I31*Settings!$B$13)</f>
        <v/>
      </c>
      <c r="L31" s="15" t="str">
        <f aca="false">IF($C31="","",$I31*Settings!$B$14)</f>
        <v/>
      </c>
      <c r="M31" s="15" t="str">
        <f aca="false">IF($C31="","",$I31*Settings!$B$15)</f>
        <v/>
      </c>
      <c r="N31" s="15" t="str">
        <f aca="false">IF($C31="","",SUM(G$5:G31))</f>
        <v/>
      </c>
    </row>
    <row r="32" customFormat="false" ht="15" hidden="false" customHeight="false" outlineLevel="0" collapsed="false">
      <c r="A32" s="12"/>
      <c r="B32" s="12"/>
      <c r="C32" s="13"/>
      <c r="D32" s="14"/>
      <c r="E32" s="15" t="str">
        <f aca="false">IF($C32="","",$C32*$D32)</f>
        <v/>
      </c>
      <c r="F32" s="15" t="str">
        <f aca="false">IF($C32="","",MAX(0,MIN(Settings!$B$7*E32,Settings!$B$8-SUM(F$5:F31))))</f>
        <v/>
      </c>
      <c r="G32" s="15" t="str">
        <f aca="false">IF($C32="","",MAX(0,MIN(Settings!$B$5*E32,Settings!$B$6-SUM(G$5:G31))))</f>
        <v/>
      </c>
      <c r="H32" s="15" t="str">
        <f aca="false">IF($C32="","",Settings!$B$9)</f>
        <v/>
      </c>
      <c r="I32" s="15" t="str">
        <f aca="false">IF($C32="","",E32-F32-G32-H32)</f>
        <v/>
      </c>
      <c r="J32" s="15" t="str">
        <f aca="false">IF($C32="","",$I32*Settings!$B$12)</f>
        <v/>
      </c>
      <c r="K32" s="15" t="str">
        <f aca="false">IF($C32="","",$I32*Settings!$B$13)</f>
        <v/>
      </c>
      <c r="L32" s="15" t="str">
        <f aca="false">IF($C32="","",$I32*Settings!$B$14)</f>
        <v/>
      </c>
      <c r="M32" s="15" t="str">
        <f aca="false">IF($C32="","",$I32*Settings!$B$15)</f>
        <v/>
      </c>
      <c r="N32" s="15" t="str">
        <f aca="false">IF($C32="","",SUM(G$5:G32))</f>
        <v/>
      </c>
    </row>
    <row r="33" customFormat="false" ht="15" hidden="false" customHeight="false" outlineLevel="0" collapsed="false">
      <c r="A33" s="12"/>
      <c r="B33" s="12"/>
      <c r="C33" s="13"/>
      <c r="D33" s="14"/>
      <c r="E33" s="15" t="str">
        <f aca="false">IF($C33="","",$C33*$D33)</f>
        <v/>
      </c>
      <c r="F33" s="15" t="str">
        <f aca="false">IF($C33="","",MAX(0,MIN(Settings!$B$7*E33,Settings!$B$8-SUM(F$5:F32))))</f>
        <v/>
      </c>
      <c r="G33" s="15" t="str">
        <f aca="false">IF($C33="","",MAX(0,MIN(Settings!$B$5*E33,Settings!$B$6-SUM(G$5:G32))))</f>
        <v/>
      </c>
      <c r="H33" s="15" t="str">
        <f aca="false">IF($C33="","",Settings!$B$9)</f>
        <v/>
      </c>
      <c r="I33" s="15" t="str">
        <f aca="false">IF($C33="","",E33-F33-G33-H33)</f>
        <v/>
      </c>
      <c r="J33" s="15" t="str">
        <f aca="false">IF($C33="","",$I33*Settings!$B$12)</f>
        <v/>
      </c>
      <c r="K33" s="15" t="str">
        <f aca="false">IF($C33="","",$I33*Settings!$B$13)</f>
        <v/>
      </c>
      <c r="L33" s="15" t="str">
        <f aca="false">IF($C33="","",$I33*Settings!$B$14)</f>
        <v/>
      </c>
      <c r="M33" s="15" t="str">
        <f aca="false">IF($C33="","",$I33*Settings!$B$15)</f>
        <v/>
      </c>
      <c r="N33" s="15" t="str">
        <f aca="false">IF($C33="","",SUM(G$5:G33))</f>
        <v/>
      </c>
    </row>
    <row r="34" customFormat="false" ht="15" hidden="false" customHeight="false" outlineLevel="0" collapsed="false">
      <c r="A34" s="12"/>
      <c r="B34" s="12"/>
      <c r="C34" s="13"/>
      <c r="D34" s="14"/>
      <c r="E34" s="15" t="str">
        <f aca="false">IF($C34="","",$C34*$D34)</f>
        <v/>
      </c>
      <c r="F34" s="15" t="str">
        <f aca="false">IF($C34="","",MAX(0,MIN(Settings!$B$7*E34,Settings!$B$8-SUM(F$5:F33))))</f>
        <v/>
      </c>
      <c r="G34" s="15" t="str">
        <f aca="false">IF($C34="","",MAX(0,MIN(Settings!$B$5*E34,Settings!$B$6-SUM(G$5:G33))))</f>
        <v/>
      </c>
      <c r="H34" s="15" t="str">
        <f aca="false">IF($C34="","",Settings!$B$9)</f>
        <v/>
      </c>
      <c r="I34" s="15" t="str">
        <f aca="false">IF($C34="","",E34-F34-G34-H34)</f>
        <v/>
      </c>
      <c r="J34" s="15" t="str">
        <f aca="false">IF($C34="","",$I34*Settings!$B$12)</f>
        <v/>
      </c>
      <c r="K34" s="15" t="str">
        <f aca="false">IF($C34="","",$I34*Settings!$B$13)</f>
        <v/>
      </c>
      <c r="L34" s="15" t="str">
        <f aca="false">IF($C34="","",$I34*Settings!$B$14)</f>
        <v/>
      </c>
      <c r="M34" s="15" t="str">
        <f aca="false">IF($C34="","",$I34*Settings!$B$15)</f>
        <v/>
      </c>
      <c r="N34" s="15" t="str">
        <f aca="false">IF($C34="","",SUM(G$5:G34))</f>
        <v/>
      </c>
    </row>
    <row r="35" customFormat="false" ht="15" hidden="false" customHeight="false" outlineLevel="0" collapsed="false">
      <c r="A35" s="12"/>
      <c r="B35" s="12"/>
      <c r="C35" s="13"/>
      <c r="D35" s="14"/>
      <c r="E35" s="15" t="str">
        <f aca="false">IF($C35="","",$C35*$D35)</f>
        <v/>
      </c>
      <c r="F35" s="15" t="str">
        <f aca="false">IF($C35="","",MAX(0,MIN(Settings!$B$7*E35,Settings!$B$8-SUM(F$5:F34))))</f>
        <v/>
      </c>
      <c r="G35" s="15" t="str">
        <f aca="false">IF($C35="","",MAX(0,MIN(Settings!$B$5*E35,Settings!$B$6-SUM(G$5:G34))))</f>
        <v/>
      </c>
      <c r="H35" s="15" t="str">
        <f aca="false">IF($C35="","",Settings!$B$9)</f>
        <v/>
      </c>
      <c r="I35" s="15" t="str">
        <f aca="false">IF($C35="","",E35-F35-G35-H35)</f>
        <v/>
      </c>
      <c r="J35" s="15" t="str">
        <f aca="false">IF($C35="","",$I35*Settings!$B$12)</f>
        <v/>
      </c>
      <c r="K35" s="15" t="str">
        <f aca="false">IF($C35="","",$I35*Settings!$B$13)</f>
        <v/>
      </c>
      <c r="L35" s="15" t="str">
        <f aca="false">IF($C35="","",$I35*Settings!$B$14)</f>
        <v/>
      </c>
      <c r="M35" s="15" t="str">
        <f aca="false">IF($C35="","",$I35*Settings!$B$15)</f>
        <v/>
      </c>
      <c r="N35" s="15" t="str">
        <f aca="false">IF($C35="","",SUM(G$5:G35))</f>
        <v/>
      </c>
    </row>
    <row r="36" customFormat="false" ht="15" hidden="false" customHeight="false" outlineLevel="0" collapsed="false">
      <c r="A36" s="12"/>
      <c r="B36" s="12"/>
      <c r="C36" s="13"/>
      <c r="D36" s="14"/>
      <c r="E36" s="15" t="str">
        <f aca="false">IF($C36="","",$C36*$D36)</f>
        <v/>
      </c>
      <c r="F36" s="15" t="str">
        <f aca="false">IF($C36="","",MAX(0,MIN(Settings!$B$7*E36,Settings!$B$8-SUM(F$5:F35))))</f>
        <v/>
      </c>
      <c r="G36" s="15" t="str">
        <f aca="false">IF($C36="","",MAX(0,MIN(Settings!$B$5*E36,Settings!$B$6-SUM(G$5:G35))))</f>
        <v/>
      </c>
      <c r="H36" s="15" t="str">
        <f aca="false">IF($C36="","",Settings!$B$9)</f>
        <v/>
      </c>
      <c r="I36" s="15" t="str">
        <f aca="false">IF($C36="","",E36-F36-G36-H36)</f>
        <v/>
      </c>
      <c r="J36" s="15" t="str">
        <f aca="false">IF($C36="","",$I36*Settings!$B$12)</f>
        <v/>
      </c>
      <c r="K36" s="15" t="str">
        <f aca="false">IF($C36="","",$I36*Settings!$B$13)</f>
        <v/>
      </c>
      <c r="L36" s="15" t="str">
        <f aca="false">IF($C36="","",$I36*Settings!$B$14)</f>
        <v/>
      </c>
      <c r="M36" s="15" t="str">
        <f aca="false">IF($C36="","",$I36*Settings!$B$15)</f>
        <v/>
      </c>
      <c r="N36" s="15" t="str">
        <f aca="false">IF($C36="","",SUM(G$5:G36))</f>
        <v/>
      </c>
    </row>
    <row r="37" customFormat="false" ht="15" hidden="false" customHeight="false" outlineLevel="0" collapsed="false">
      <c r="A37" s="12"/>
      <c r="B37" s="12"/>
      <c r="C37" s="13"/>
      <c r="D37" s="14"/>
      <c r="E37" s="15" t="str">
        <f aca="false">IF($C37="","",$C37*$D37)</f>
        <v/>
      </c>
      <c r="F37" s="15" t="str">
        <f aca="false">IF($C37="","",MAX(0,MIN(Settings!$B$7*E37,Settings!$B$8-SUM(F$5:F36))))</f>
        <v/>
      </c>
      <c r="G37" s="15" t="str">
        <f aca="false">IF($C37="","",MAX(0,MIN(Settings!$B$5*E37,Settings!$B$6-SUM(G$5:G36))))</f>
        <v/>
      </c>
      <c r="H37" s="15" t="str">
        <f aca="false">IF($C37="","",Settings!$B$9)</f>
        <v/>
      </c>
      <c r="I37" s="15" t="str">
        <f aca="false">IF($C37="","",E37-F37-G37-H37)</f>
        <v/>
      </c>
      <c r="J37" s="15" t="str">
        <f aca="false">IF($C37="","",$I37*Settings!$B$12)</f>
        <v/>
      </c>
      <c r="K37" s="15" t="str">
        <f aca="false">IF($C37="","",$I37*Settings!$B$13)</f>
        <v/>
      </c>
      <c r="L37" s="15" t="str">
        <f aca="false">IF($C37="","",$I37*Settings!$B$14)</f>
        <v/>
      </c>
      <c r="M37" s="15" t="str">
        <f aca="false">IF($C37="","",$I37*Settings!$B$15)</f>
        <v/>
      </c>
      <c r="N37" s="15" t="str">
        <f aca="false">IF($C37="","",SUM(G$5:G37))</f>
        <v/>
      </c>
    </row>
    <row r="38" customFormat="false" ht="15" hidden="false" customHeight="false" outlineLevel="0" collapsed="false">
      <c r="A38" s="12"/>
      <c r="B38" s="12"/>
      <c r="C38" s="13"/>
      <c r="D38" s="14"/>
      <c r="E38" s="15" t="str">
        <f aca="false">IF($C38="","",$C38*$D38)</f>
        <v/>
      </c>
      <c r="F38" s="15" t="str">
        <f aca="false">IF($C38="","",MAX(0,MIN(Settings!$B$7*E38,Settings!$B$8-SUM(F$5:F37))))</f>
        <v/>
      </c>
      <c r="G38" s="15" t="str">
        <f aca="false">IF($C38="","",MAX(0,MIN(Settings!$B$5*E38,Settings!$B$6-SUM(G$5:G37))))</f>
        <v/>
      </c>
      <c r="H38" s="15" t="str">
        <f aca="false">IF($C38="","",Settings!$B$9)</f>
        <v/>
      </c>
      <c r="I38" s="15" t="str">
        <f aca="false">IF($C38="","",E38-F38-G38-H38)</f>
        <v/>
      </c>
      <c r="J38" s="15" t="str">
        <f aca="false">IF($C38="","",$I38*Settings!$B$12)</f>
        <v/>
      </c>
      <c r="K38" s="15" t="str">
        <f aca="false">IF($C38="","",$I38*Settings!$B$13)</f>
        <v/>
      </c>
      <c r="L38" s="15" t="str">
        <f aca="false">IF($C38="","",$I38*Settings!$B$14)</f>
        <v/>
      </c>
      <c r="M38" s="15" t="str">
        <f aca="false">IF($C38="","",$I38*Settings!$B$15)</f>
        <v/>
      </c>
      <c r="N38" s="15" t="str">
        <f aca="false">IF($C38="","",SUM(G$5:G38))</f>
        <v/>
      </c>
    </row>
    <row r="39" customFormat="false" ht="15" hidden="false" customHeight="false" outlineLevel="0" collapsed="false">
      <c r="A39" s="12"/>
      <c r="B39" s="12"/>
      <c r="C39" s="13"/>
      <c r="D39" s="14"/>
      <c r="E39" s="15" t="str">
        <f aca="false">IF($C39="","",$C39*$D39)</f>
        <v/>
      </c>
      <c r="F39" s="15" t="str">
        <f aca="false">IF($C39="","",MAX(0,MIN(Settings!$B$7*E39,Settings!$B$8-SUM(F$5:F38))))</f>
        <v/>
      </c>
      <c r="G39" s="15" t="str">
        <f aca="false">IF($C39="","",MAX(0,MIN(Settings!$B$5*E39,Settings!$B$6-SUM(G$5:G38))))</f>
        <v/>
      </c>
      <c r="H39" s="15" t="str">
        <f aca="false">IF($C39="","",Settings!$B$9)</f>
        <v/>
      </c>
      <c r="I39" s="15" t="str">
        <f aca="false">IF($C39="","",E39-F39-G39-H39)</f>
        <v/>
      </c>
      <c r="J39" s="15" t="str">
        <f aca="false">IF($C39="","",$I39*Settings!$B$12)</f>
        <v/>
      </c>
      <c r="K39" s="15" t="str">
        <f aca="false">IF($C39="","",$I39*Settings!$B$13)</f>
        <v/>
      </c>
      <c r="L39" s="15" t="str">
        <f aca="false">IF($C39="","",$I39*Settings!$B$14)</f>
        <v/>
      </c>
      <c r="M39" s="15" t="str">
        <f aca="false">IF($C39="","",$I39*Settings!$B$15)</f>
        <v/>
      </c>
      <c r="N39" s="15" t="str">
        <f aca="false">IF($C39="","",SUM(G$5:G39))</f>
        <v/>
      </c>
    </row>
    <row r="40" customFormat="false" ht="15" hidden="false" customHeight="false" outlineLevel="0" collapsed="false">
      <c r="A40" s="12"/>
      <c r="B40" s="12"/>
      <c r="C40" s="13"/>
      <c r="D40" s="14"/>
      <c r="E40" s="15" t="str">
        <f aca="false">IF($C40="","",$C40*$D40)</f>
        <v/>
      </c>
      <c r="F40" s="15" t="str">
        <f aca="false">IF($C40="","",MAX(0,MIN(Settings!$B$7*E40,Settings!$B$8-SUM(F$5:F39))))</f>
        <v/>
      </c>
      <c r="G40" s="15" t="str">
        <f aca="false">IF($C40="","",MAX(0,MIN(Settings!$B$5*E40,Settings!$B$6-SUM(G$5:G39))))</f>
        <v/>
      </c>
      <c r="H40" s="15" t="str">
        <f aca="false">IF($C40="","",Settings!$B$9)</f>
        <v/>
      </c>
      <c r="I40" s="15" t="str">
        <f aca="false">IF($C40="","",E40-F40-G40-H40)</f>
        <v/>
      </c>
      <c r="J40" s="15" t="str">
        <f aca="false">IF($C40="","",$I40*Settings!$B$12)</f>
        <v/>
      </c>
      <c r="K40" s="15" t="str">
        <f aca="false">IF($C40="","",$I40*Settings!$B$13)</f>
        <v/>
      </c>
      <c r="L40" s="15" t="str">
        <f aca="false">IF($C40="","",$I40*Settings!$B$14)</f>
        <v/>
      </c>
      <c r="M40" s="15" t="str">
        <f aca="false">IF($C40="","",$I40*Settings!$B$15)</f>
        <v/>
      </c>
      <c r="N40" s="15" t="str">
        <f aca="false">IF($C40="","",SUM(G$5:G40))</f>
        <v/>
      </c>
    </row>
    <row r="41" customFormat="false" ht="15" hidden="false" customHeight="false" outlineLevel="0" collapsed="false">
      <c r="A41" s="12"/>
      <c r="B41" s="12"/>
      <c r="C41" s="13"/>
      <c r="D41" s="14"/>
      <c r="E41" s="15" t="str">
        <f aca="false">IF($C41="","",$C41*$D41)</f>
        <v/>
      </c>
      <c r="F41" s="15" t="str">
        <f aca="false">IF($C41="","",MAX(0,MIN(Settings!$B$7*E41,Settings!$B$8-SUM(F$5:F40))))</f>
        <v/>
      </c>
      <c r="G41" s="15" t="str">
        <f aca="false">IF($C41="","",MAX(0,MIN(Settings!$B$5*E41,Settings!$B$6-SUM(G$5:G40))))</f>
        <v/>
      </c>
      <c r="H41" s="15" t="str">
        <f aca="false">IF($C41="","",Settings!$B$9)</f>
        <v/>
      </c>
      <c r="I41" s="15" t="str">
        <f aca="false">IF($C41="","",E41-F41-G41-H41)</f>
        <v/>
      </c>
      <c r="J41" s="15" t="str">
        <f aca="false">IF($C41="","",$I41*Settings!$B$12)</f>
        <v/>
      </c>
      <c r="K41" s="15" t="str">
        <f aca="false">IF($C41="","",$I41*Settings!$B$13)</f>
        <v/>
      </c>
      <c r="L41" s="15" t="str">
        <f aca="false">IF($C41="","",$I41*Settings!$B$14)</f>
        <v/>
      </c>
      <c r="M41" s="15" t="str">
        <f aca="false">IF($C41="","",$I41*Settings!$B$15)</f>
        <v/>
      </c>
      <c r="N41" s="15" t="str">
        <f aca="false">IF($C41="","",SUM(G$5:G41))</f>
        <v/>
      </c>
    </row>
    <row r="42" customFormat="false" ht="15" hidden="false" customHeight="false" outlineLevel="0" collapsed="false">
      <c r="A42" s="12"/>
      <c r="B42" s="12"/>
      <c r="C42" s="13"/>
      <c r="D42" s="14"/>
      <c r="E42" s="15" t="str">
        <f aca="false">IF($C42="","",$C42*$D42)</f>
        <v/>
      </c>
      <c r="F42" s="15" t="str">
        <f aca="false">IF($C42="","",MAX(0,MIN(Settings!$B$7*E42,Settings!$B$8-SUM(F$5:F41))))</f>
        <v/>
      </c>
      <c r="G42" s="15" t="str">
        <f aca="false">IF($C42="","",MAX(0,MIN(Settings!$B$5*E42,Settings!$B$6-SUM(G$5:G41))))</f>
        <v/>
      </c>
      <c r="H42" s="15" t="str">
        <f aca="false">IF($C42="","",Settings!$B$9)</f>
        <v/>
      </c>
      <c r="I42" s="15" t="str">
        <f aca="false">IF($C42="","",E42-F42-G42-H42)</f>
        <v/>
      </c>
      <c r="J42" s="15" t="str">
        <f aca="false">IF($C42="","",$I42*Settings!$B$12)</f>
        <v/>
      </c>
      <c r="K42" s="15" t="str">
        <f aca="false">IF($C42="","",$I42*Settings!$B$13)</f>
        <v/>
      </c>
      <c r="L42" s="15" t="str">
        <f aca="false">IF($C42="","",$I42*Settings!$B$14)</f>
        <v/>
      </c>
      <c r="M42" s="15" t="str">
        <f aca="false">IF($C42="","",$I42*Settings!$B$15)</f>
        <v/>
      </c>
      <c r="N42" s="15" t="str">
        <f aca="false">IF($C42="","",SUM(G$5:G42))</f>
        <v/>
      </c>
    </row>
    <row r="43" customFormat="false" ht="15" hidden="false" customHeight="false" outlineLevel="0" collapsed="false">
      <c r="A43" s="12"/>
      <c r="B43" s="12"/>
      <c r="C43" s="13"/>
      <c r="D43" s="14"/>
      <c r="E43" s="15" t="str">
        <f aca="false">IF($C43="","",$C43*$D43)</f>
        <v/>
      </c>
      <c r="F43" s="15" t="str">
        <f aca="false">IF($C43="","",MAX(0,MIN(Settings!$B$7*E43,Settings!$B$8-SUM(F$5:F42))))</f>
        <v/>
      </c>
      <c r="G43" s="15" t="str">
        <f aca="false">IF($C43="","",MAX(0,MIN(Settings!$B$5*E43,Settings!$B$6-SUM(G$5:G42))))</f>
        <v/>
      </c>
      <c r="H43" s="15" t="str">
        <f aca="false">IF($C43="","",Settings!$B$9)</f>
        <v/>
      </c>
      <c r="I43" s="15" t="str">
        <f aca="false">IF($C43="","",E43-F43-G43-H43)</f>
        <v/>
      </c>
      <c r="J43" s="15" t="str">
        <f aca="false">IF($C43="","",$I43*Settings!$B$12)</f>
        <v/>
      </c>
      <c r="K43" s="15" t="str">
        <f aca="false">IF($C43="","",$I43*Settings!$B$13)</f>
        <v/>
      </c>
      <c r="L43" s="15" t="str">
        <f aca="false">IF($C43="","",$I43*Settings!$B$14)</f>
        <v/>
      </c>
      <c r="M43" s="15" t="str">
        <f aca="false">IF($C43="","",$I43*Settings!$B$15)</f>
        <v/>
      </c>
      <c r="N43" s="15" t="str">
        <f aca="false">IF($C43="","",SUM(G$5:G43))</f>
        <v/>
      </c>
    </row>
    <row r="44" customFormat="false" ht="15" hidden="false" customHeight="false" outlineLevel="0" collapsed="false">
      <c r="A44" s="12"/>
      <c r="B44" s="12"/>
      <c r="C44" s="13"/>
      <c r="D44" s="14"/>
      <c r="E44" s="15" t="str">
        <f aca="false">IF($C44="","",$C44*$D44)</f>
        <v/>
      </c>
      <c r="F44" s="15" t="str">
        <f aca="false">IF($C44="","",MAX(0,MIN(Settings!$B$7*E44,Settings!$B$8-SUM(F$5:F43))))</f>
        <v/>
      </c>
      <c r="G44" s="15" t="str">
        <f aca="false">IF($C44="","",MAX(0,MIN(Settings!$B$5*E44,Settings!$B$6-SUM(G$5:G43))))</f>
        <v/>
      </c>
      <c r="H44" s="15" t="str">
        <f aca="false">IF($C44="","",Settings!$B$9)</f>
        <v/>
      </c>
      <c r="I44" s="15" t="str">
        <f aca="false">IF($C44="","",E44-F44-G44-H44)</f>
        <v/>
      </c>
      <c r="J44" s="15" t="str">
        <f aca="false">IF($C44="","",$I44*Settings!$B$12)</f>
        <v/>
      </c>
      <c r="K44" s="15" t="str">
        <f aca="false">IF($C44="","",$I44*Settings!$B$13)</f>
        <v/>
      </c>
      <c r="L44" s="15" t="str">
        <f aca="false">IF($C44="","",$I44*Settings!$B$14)</f>
        <v/>
      </c>
      <c r="M44" s="15" t="str">
        <f aca="false">IF($C44="","",$I44*Settings!$B$15)</f>
        <v/>
      </c>
      <c r="N44" s="15" t="str">
        <f aca="false">IF($C44="","",SUM(G$5:G44))</f>
        <v/>
      </c>
    </row>
    <row r="46" customFormat="false" ht="15" hidden="false" customHeight="false" outlineLevel="0" collapsed="false">
      <c r="A46"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62"/>
  </cols>
  <sheetData>
    <row r="1" customFormat="false" ht="19.7" hidden="false" customHeight="false" outlineLevel="0" collapsed="false">
      <c r="A1" s="1" t="s">
        <v>59</v>
      </c>
    </row>
    <row r="2" customFormat="false" ht="15" hidden="false" customHeight="false" outlineLevel="0" collapsed="false">
      <c r="A2" s="2" t="s">
        <v>60</v>
      </c>
    </row>
    <row r="4" customFormat="false" ht="15" hidden="false" customHeight="false" outlineLevel="0" collapsed="false">
      <c r="A4" s="5" t="s">
        <v>61</v>
      </c>
    </row>
    <row r="5" customFormat="false" ht="15" hidden="false" customHeight="false" outlineLevel="0" collapsed="false">
      <c r="A5" s="7" t="s">
        <v>62</v>
      </c>
      <c r="B5" s="16" t="n">
        <f aca="false">COUNT('Commission Log'!C5:C44)</f>
        <v>3</v>
      </c>
    </row>
    <row r="6" customFormat="false" ht="15" hidden="false" customHeight="false" outlineLevel="0" collapsed="false">
      <c r="A6" s="7" t="s">
        <v>63</v>
      </c>
      <c r="B6" s="17" t="n">
        <f aca="false">SUM('Commission Log'!C5:C44)</f>
        <v>2960000</v>
      </c>
    </row>
    <row r="7" customFormat="false" ht="15" hidden="false" customHeight="false" outlineLevel="0" collapsed="false">
      <c r="A7" s="3" t="s">
        <v>64</v>
      </c>
      <c r="B7" s="18" t="n">
        <f aca="false">SUM('Commission Log'!E5:E44)</f>
        <v>77800</v>
      </c>
    </row>
    <row r="9" customFormat="false" ht="15" hidden="false" customHeight="false" outlineLevel="0" collapsed="false">
      <c r="A9" s="5" t="s">
        <v>65</v>
      </c>
    </row>
    <row r="10" customFormat="false" ht="15" hidden="false" customHeight="false" outlineLevel="0" collapsed="false">
      <c r="A10" s="7" t="s">
        <v>66</v>
      </c>
      <c r="B10" s="17" t="n">
        <f aca="false">SUM('Commission Log'!F5:F44)</f>
        <v>3000</v>
      </c>
    </row>
    <row r="11" customFormat="false" ht="15" hidden="false" customHeight="false" outlineLevel="0" collapsed="false">
      <c r="A11" s="7" t="s">
        <v>67</v>
      </c>
      <c r="B11" s="17" t="n">
        <f aca="false">SUM('Commission Log'!G5:G44)</f>
        <v>16000</v>
      </c>
    </row>
    <row r="12" customFormat="false" ht="15" hidden="false" customHeight="false" outlineLevel="0" collapsed="false">
      <c r="A12" s="7" t="s">
        <v>68</v>
      </c>
      <c r="B12" s="17" t="n">
        <f aca="false">MAX(0,Settings!B6-B11)</f>
        <v>0</v>
      </c>
      <c r="C12" s="6" t="s">
        <v>69</v>
      </c>
    </row>
    <row r="13" customFormat="false" ht="15" hidden="false" customHeight="false" outlineLevel="0" collapsed="false">
      <c r="A13" s="7" t="s">
        <v>70</v>
      </c>
      <c r="B13" s="17" t="n">
        <f aca="false">SUM('Commission Log'!H5:H44)</f>
        <v>450</v>
      </c>
    </row>
    <row r="14" customFormat="false" ht="15" hidden="false" customHeight="false" outlineLevel="0" collapsed="false">
      <c r="A14" s="3" t="s">
        <v>71</v>
      </c>
      <c r="B14" s="18" t="n">
        <f aca="false">SUM('Commission Log'!I5:I44)</f>
        <v>58350</v>
      </c>
    </row>
    <row r="16" customFormat="false" ht="15" hidden="false" customHeight="false" outlineLevel="0" collapsed="false">
      <c r="A16" s="5" t="s">
        <v>72</v>
      </c>
    </row>
    <row r="17" customFormat="false" ht="15" hidden="false" customHeight="false" outlineLevel="0" collapsed="false">
      <c r="A17" s="7" t="s">
        <v>73</v>
      </c>
      <c r="B17" s="17" t="n">
        <f aca="false">SUM('Commission Log'!J5:J44)</f>
        <v>17505</v>
      </c>
    </row>
    <row r="18" customFormat="false" ht="15" hidden="false" customHeight="false" outlineLevel="0" collapsed="false">
      <c r="A18" s="7" t="s">
        <v>74</v>
      </c>
      <c r="B18" s="17" t="n">
        <f aca="false">SUM('Commission Log'!K5:K44)</f>
        <v>2917.5</v>
      </c>
    </row>
    <row r="19" customFormat="false" ht="15" hidden="false" customHeight="false" outlineLevel="0" collapsed="false">
      <c r="A19" s="7" t="s">
        <v>75</v>
      </c>
      <c r="B19" s="17" t="n">
        <f aca="false">SUM('Commission Log'!L5:L44)</f>
        <v>29175</v>
      </c>
    </row>
    <row r="20" customFormat="false" ht="15" hidden="false" customHeight="false" outlineLevel="0" collapsed="false">
      <c r="A20" s="7" t="s">
        <v>76</v>
      </c>
      <c r="B20" s="17" t="n">
        <f aca="false">SUM('Commission Log'!M5:M44)</f>
        <v>8752.5</v>
      </c>
    </row>
    <row r="22" customFormat="false" ht="15" hidden="false" customHeight="false" outlineLevel="0" collapsed="false">
      <c r="A22" s="5" t="s">
        <v>77</v>
      </c>
    </row>
    <row r="23" customFormat="false" ht="15" hidden="false" customHeight="false" outlineLevel="0" collapsed="false">
      <c r="A23" s="3" t="s">
        <v>78</v>
      </c>
      <c r="B23" s="19" t="n">
        <f aca="false">IF(B7=0,"",(B18+B19)/B7)</f>
        <v>0.4125</v>
      </c>
      <c r="C23" s="6" t="s">
        <v>79</v>
      </c>
    </row>
    <row r="25" customFormat="false" ht="15" hidden="false" customHeight="false" outlineLevel="0" collapsed="false">
      <c r="A25"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58"/>
  </cols>
  <sheetData>
    <row r="1" customFormat="false" ht="19.7" hidden="false" customHeight="false" outlineLevel="0" collapsed="false">
      <c r="A1" s="1" t="s">
        <v>80</v>
      </c>
    </row>
    <row r="2" customFormat="false" ht="15" hidden="false" customHeight="false" outlineLevel="0" collapsed="false">
      <c r="A2" s="2" t="s">
        <v>81</v>
      </c>
    </row>
    <row r="4" customFormat="false" ht="15" hidden="false" customHeight="false" outlineLevel="0" collapsed="false">
      <c r="A4" s="7" t="s">
        <v>82</v>
      </c>
      <c r="B4" s="9" t="n">
        <v>850000</v>
      </c>
    </row>
    <row r="5" customFormat="false" ht="15" hidden="false" customHeight="false" outlineLevel="0" collapsed="false">
      <c r="A5" s="7" t="s">
        <v>83</v>
      </c>
      <c r="B5" s="8" t="n">
        <v>0.025</v>
      </c>
    </row>
    <row r="6" customFormat="false" ht="15" hidden="false" customHeight="false" outlineLevel="0" collapsed="false">
      <c r="A6" s="7" t="s">
        <v>84</v>
      </c>
      <c r="B6" s="20" t="s">
        <v>85</v>
      </c>
    </row>
    <row r="7" customFormat="false" ht="15" hidden="false" customHeight="false" outlineLevel="0" collapsed="false">
      <c r="A7" s="7" t="s">
        <v>86</v>
      </c>
      <c r="B7" s="20" t="s">
        <v>85</v>
      </c>
    </row>
    <row r="9" customFormat="false" ht="15" hidden="false" customHeight="false" outlineLevel="0" collapsed="false">
      <c r="A9" s="7" t="s">
        <v>87</v>
      </c>
      <c r="B9" s="21" t="n">
        <f aca="false">B4*B5</f>
        <v>21250</v>
      </c>
    </row>
    <row r="10" customFormat="false" ht="15" hidden="false" customHeight="false" outlineLevel="0" collapsed="false">
      <c r="A10" s="7" t="s">
        <v>88</v>
      </c>
      <c r="B10" s="21" t="n">
        <f aca="false">IF(UPPER(B7)="Y",0,-Settings!B7*B9)</f>
        <v>-1275</v>
      </c>
    </row>
    <row r="11" customFormat="false" ht="15" hidden="false" customHeight="false" outlineLevel="0" collapsed="false">
      <c r="A11" s="7" t="s">
        <v>89</v>
      </c>
      <c r="B11" s="21" t="n">
        <f aca="false">IF(UPPER(B6)="Y",0,-Settings!B5*B9)</f>
        <v>-6375</v>
      </c>
    </row>
    <row r="12" customFormat="false" ht="15" hidden="false" customHeight="false" outlineLevel="0" collapsed="false">
      <c r="A12" s="7" t="s">
        <v>90</v>
      </c>
      <c r="B12" s="21" t="n">
        <f aca="false">-Settings!B9</f>
        <v>-150</v>
      </c>
    </row>
    <row r="13" customFormat="false" ht="15" hidden="false" customHeight="false" outlineLevel="0" collapsed="false">
      <c r="A13" s="7" t="s">
        <v>91</v>
      </c>
      <c r="B13" s="21" t="n">
        <f aca="false">SUM(B9:B12)</f>
        <v>13450</v>
      </c>
    </row>
    <row r="14" customFormat="false" ht="15" hidden="false" customHeight="false" outlineLevel="0" collapsed="false">
      <c r="A14" s="7" t="s">
        <v>92</v>
      </c>
      <c r="B14" s="21" t="n">
        <f aca="false">-B13*Settings!B12</f>
        <v>-4035</v>
      </c>
    </row>
    <row r="15" customFormat="false" ht="15" hidden="false" customHeight="false" outlineLevel="0" collapsed="false">
      <c r="A15" s="7" t="s">
        <v>93</v>
      </c>
      <c r="B15" s="21" t="n">
        <f aca="false">-B13*Settings!B13</f>
        <v>-672.5</v>
      </c>
    </row>
    <row r="16" customFormat="false" ht="15" hidden="false" customHeight="false" outlineLevel="0" collapsed="false">
      <c r="A16" s="7" t="s">
        <v>94</v>
      </c>
      <c r="B16" s="21" t="n">
        <f aca="false">-B13*Settings!B15</f>
        <v>-2017.5</v>
      </c>
    </row>
    <row r="17" customFormat="false" ht="15" hidden="false" customHeight="false" outlineLevel="0" collapsed="false">
      <c r="A17" s="3" t="s">
        <v>95</v>
      </c>
      <c r="B17" s="22" t="n">
        <f aca="false">B13+B14+B15+B16</f>
        <v>6725</v>
      </c>
    </row>
    <row r="19" customFormat="false" ht="15" hidden="false" customHeight="false" outlineLevel="0" collapsed="false">
      <c r="A19" s="7" t="s">
        <v>96</v>
      </c>
      <c r="B19" s="23" t="n">
        <f aca="false">IF(B9=0,"",B17/B9)</f>
        <v>0.316470588235294</v>
      </c>
    </row>
    <row r="21" customFormat="false" ht="15" hidden="false" customHeight="false" outlineLevel="0" collapsed="false">
      <c r="A21"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2026-07-05T23:06:40Z</dcterms:created>
  <dc:creator>openpyxl</dc:creator>
  <dc:description/>
  <dc:language>en-US</dc:language>
  <cp:lastModifiedBy/>
  <dcterms:modified xsi:type="dcterms:W3CDTF">2026-07-05T23:06:40Z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