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imary Residence TCO" sheetId="2" state="visible" r:id="rId4"/>
    <sheet name="Rental Property TCO"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<sst xmlns="http://schemas.openxmlformats.org/spreadsheetml/2006/main" count="107" uniqueCount="102">
  <si>
    <t xml:space="preserve">True Cost of Ownership (TCO) Models</t>
  </si>
  <si>
    <t xml:space="preserve">Broker Financial Toolkit · Wealth Building Broker · 2026 Edition</t>
  </si>
  <si>
    <t xml:space="preserve">The problem with PITI:</t>
  </si>
  <si>
    <t xml:space="preserve">Most people — including most agents — evaluate affordability on principal, interest, taxes, and insurance. Then maintenance, capex, HOA, utilities, and the opportunity cost of the down payment eat them alive. TCO is what the property ACTUALLY costs to hold.</t>
  </si>
  <si>
    <t xml:space="preserve">1. Primary Residence TCO</t>
  </si>
  <si>
    <t xml:space="preserve">All-in monthly and 5-year cost of the home you live in, compared honestly against renting the same house.</t>
  </si>
  <si>
    <t xml:space="preserve">2. Rental Property TCO</t>
  </si>
  <si>
    <t xml:space="preserve">The investor version: NOI, cap rate, cash-on-cash, DSCR, and the 1%-rule check — with maintenance and capex reserves that most pro formas conveniently forget.</t>
  </si>
  <si>
    <t xml:space="preserve">Use these before you (or your client) writes the offer, not after.</t>
  </si>
  <si>
    <t xml:space="preserve">Educational tool only — not tax, legal, or investment advice. Verify all figures with your CPA. Lance Hulsey, CA Real Estate Broker, DRE# 01724888 · wealthbuildingbroker.com</t>
  </si>
  <si>
    <t xml:space="preserve">Primary Residence — True Cost of Ownership</t>
  </si>
  <si>
    <t xml:space="preserve">Santa Cruz County defaults — change every blue cell to your deal.</t>
  </si>
  <si>
    <t xml:space="preserve">THE PURCHASE</t>
  </si>
  <si>
    <t xml:space="preserve">Purchase price</t>
  </si>
  <si>
    <t xml:space="preserve">Down payment %</t>
  </si>
  <si>
    <t xml:space="preserve">Mortgage rate (30-yr fixed)</t>
  </si>
  <si>
    <t xml:space="preserve">Check current rates</t>
  </si>
  <si>
    <t xml:space="preserve">Loan term (years)</t>
  </si>
  <si>
    <t xml:space="preserve">Buyer closing costs %</t>
  </si>
  <si>
    <t xml:space="preserve">Escrow, title, lender, inspections</t>
  </si>
  <si>
    <t xml:space="preserve">THE CARRY</t>
  </si>
  <si>
    <t xml:space="preserve">Property tax rate (incl. bonds/assessments)</t>
  </si>
  <si>
    <t xml:space="preserve">CA base 1% + local bonds; Prop 13 caps growth at 2%/yr</t>
  </si>
  <si>
    <t xml:space="preserve">Homeowners insurance (annual)</t>
  </si>
  <si>
    <t xml:space="preserve">CA fire-zone premiums can triple this — quote before you offer</t>
  </si>
  <si>
    <t xml:space="preserve">HOA (monthly)</t>
  </si>
  <si>
    <t xml:space="preserve">Maintenance reserve (% of value / yr)</t>
  </si>
  <si>
    <t xml:space="preserve">1% rule of thumb; older homes 1.5-2%</t>
  </si>
  <si>
    <t xml:space="preserve">Utilities delta vs. renting (monthly)</t>
  </si>
  <si>
    <t xml:space="preserve">Owners pay water/garbage/etc. renters often don't</t>
  </si>
  <si>
    <t xml:space="preserve">WHAT IT COSTS</t>
  </si>
  <si>
    <t xml:space="preserve">Down payment</t>
  </si>
  <si>
    <t xml:space="preserve">Loan amount</t>
  </si>
  <si>
    <t xml:space="preserve">Monthly P&amp;I</t>
  </si>
  <si>
    <t xml:space="preserve">Monthly property tax</t>
  </si>
  <si>
    <t xml:space="preserve">Monthly insurance</t>
  </si>
  <si>
    <t xml:space="preserve">Monthly HOA</t>
  </si>
  <si>
    <t xml:space="preserve">Monthly maintenance reserve</t>
  </si>
  <si>
    <t xml:space="preserve">Monthly utilities delta</t>
  </si>
  <si>
    <t xml:space="preserve">ALL-IN MONTHLY COST</t>
  </si>
  <si>
    <t xml:space="preserve">This is the number to budget on — not P&amp;I</t>
  </si>
  <si>
    <t xml:space="preserve">PITI only (what the lender shows you)</t>
  </si>
  <si>
    <t xml:space="preserve">The gap lenders don't mention</t>
  </si>
  <si>
    <t xml:space="preserve">5-YEAR TRUE COST vs. EQUITY</t>
  </si>
  <si>
    <t xml:space="preserve">Cash to close (down + closing costs)</t>
  </si>
  <si>
    <t xml:space="preserve">5 years of all-in payments</t>
  </si>
  <si>
    <t xml:space="preserve">Principal paid off in 5 years</t>
  </si>
  <si>
    <t xml:space="preserve">Equity you build via amortization</t>
  </si>
  <si>
    <t xml:space="preserve">Appreciation @ 3%/yr (edit in formula bar if you disagree)</t>
  </si>
  <si>
    <t xml:space="preserve">5-year net cost of owning</t>
  </si>
  <si>
    <t xml:space="preserve">Cash out minus equity created</t>
  </si>
  <si>
    <t xml:space="preserve">Rent for the same home (monthly)</t>
  </si>
  <si>
    <t xml:space="preserve">5-year cost of renting (3% annual increases)</t>
  </si>
  <si>
    <t xml:space="preserve">Own vs. rent, 5-year verdict</t>
  </si>
  <si>
    <t xml:space="preserve">Sensitive to the appreciation assumption — stress-test it at 0%</t>
  </si>
  <si>
    <t xml:space="preserve">Rental Property — Full Underwrite</t>
  </si>
  <si>
    <t xml:space="preserve">The version with the line items that optimistic pro formas leave out.</t>
  </si>
  <si>
    <t xml:space="preserve">THE DEAL</t>
  </si>
  <si>
    <t xml:space="preserve">Investment loans typically want 25%</t>
  </si>
  <si>
    <t xml:space="preserve">Mortgage rate</t>
  </si>
  <si>
    <t xml:space="preserve">Investor rates run ~0.5% over primary</t>
  </si>
  <si>
    <t xml:space="preserve">Closing costs %</t>
  </si>
  <si>
    <t xml:space="preserve">Immediate repairs / make-ready</t>
  </si>
  <si>
    <t xml:space="preserve">THE INCOME</t>
  </si>
  <si>
    <t xml:space="preserve">Monthly rent</t>
  </si>
  <si>
    <t xml:space="preserve">Other income (parking, storage, laundry)</t>
  </si>
  <si>
    <t xml:space="preserve">Vacancy &amp; credit loss</t>
  </si>
  <si>
    <t xml:space="preserve">5% = ~18 days/year empty</t>
  </si>
  <si>
    <t xml:space="preserve">THE EXPENSES (annual)</t>
  </si>
  <si>
    <t xml:space="preserve">Property tax rate</t>
  </si>
  <si>
    <t xml:space="preserve">Resets to purchase price in CA — don't use the seller's tax bill!</t>
  </si>
  <si>
    <t xml:space="preserve">Insurance</t>
  </si>
  <si>
    <t xml:space="preserve">Property management %</t>
  </si>
  <si>
    <t xml:space="preserve">Even if self-managing, price your time</t>
  </si>
  <si>
    <t xml:space="preserve">Maintenance % of rent</t>
  </si>
  <si>
    <t xml:space="preserve">CapEx reserve % of rent</t>
  </si>
  <si>
    <t xml:space="preserve">Roof, HVAC, water heater — they're coming</t>
  </si>
  <si>
    <t xml:space="preserve">Utilities / landscaping paid by owner (annual)</t>
  </si>
  <si>
    <t xml:space="preserve">THE VERDICT</t>
  </si>
  <si>
    <t xml:space="preserve">Gross scheduled income</t>
  </si>
  <si>
    <t xml:space="preserve">Effective gross income (after vacancy)</t>
  </si>
  <si>
    <t xml:space="preserve">Operating expenses</t>
  </si>
  <si>
    <t xml:space="preserve">Tax, ins, mgmt, maint, capex, utilities</t>
  </si>
  <si>
    <t xml:space="preserve">Net Operating Income (NOI)</t>
  </si>
  <si>
    <t xml:space="preserve">Cap rate</t>
  </si>
  <si>
    <t xml:space="preserve">Annual debt service</t>
  </si>
  <si>
    <t xml:space="preserve">Annual cash flow</t>
  </si>
  <si>
    <t xml:space="preserve">Monthly cash flow</t>
  </si>
  <si>
    <t xml:space="preserve">Total cash invested</t>
  </si>
  <si>
    <t xml:space="preserve">Cash-on-cash return</t>
  </si>
  <si>
    <t xml:space="preserve">DSCR (lenders want 1.20+)</t>
  </si>
  <si>
    <t xml:space="preserve">1% rule check (rent ÷ price)</t>
  </si>
  <si>
    <t xml:space="preserve">Old rule: 1%+. Coastal CA rarely passes — cash flow lives inland</t>
  </si>
  <si>
    <t xml:space="preserve">Expense ratio (opex ÷ EGI)</t>
  </si>
  <si>
    <t xml:space="preserve">Under 35% in a pro forma usually means something's missing</t>
  </si>
  <si>
    <t xml:space="preserve">FIRST-YEAR TAX ANGLE (talk to your CPA)</t>
  </si>
  <si>
    <t xml:space="preserve">Building value (75% of price, land excluded)</t>
  </si>
  <si>
    <t xml:space="preserve">Land isn't depreciable; ratio from county assessment</t>
  </si>
  <si>
    <t xml:space="preserve">Annual straight-line depreciation (27.5 yr)</t>
  </si>
  <si>
    <t xml:space="preserve">Shelters this much cash flow from income tax</t>
  </si>
  <si>
    <t xml:space="preserve">Cash flow after depreciation shelter (taxable)</t>
  </si>
  <si>
    <t xml:space="preserve">Paper loss? See REPS rules and passive-loss limits</t>
  </si>
</sst>
</file>

<file path=xl/styles.xml><?xml version="1.0" encoding="utf-8"?>
<styleSheet xmlns="http://schemas.openxmlformats.org/spreadsheetml/2006/main">
  <numFmts count="7">
    <numFmt numFmtId="164" formatCode="General"/>
    <numFmt numFmtId="165" formatCode="\$#,##0;&quot;($&quot;#,##0\);\-"/>
    <numFmt numFmtId="166" formatCode="0.0%"/>
    <numFmt numFmtId="167" formatCode="0.000%"/>
    <numFmt numFmtId="168" formatCode="0"/>
    <numFmt numFmtId="169" formatCode="0.00%"/>
    <numFmt numFmtId="170"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0A1F3D"/>
      <name val="Arial"/>
      <family val="0"/>
      <charset val="1"/>
    </font>
    <font>
      <i val="true"/>
      <sz val="10"/>
      <color rgb="FF555555"/>
      <name val="Arial"/>
      <family val="0"/>
      <charset val="1"/>
    </font>
    <font>
      <b val="true"/>
      <sz val="10"/>
      <name val="Arial"/>
      <family val="0"/>
      <charset val="1"/>
    </font>
    <font>
      <sz val="10"/>
      <name val="Arial"/>
      <family val="0"/>
      <charset val="1"/>
    </font>
    <font>
      <b val="true"/>
      <sz val="12"/>
      <color rgb="FF0A1F3D"/>
      <name val="Arial"/>
      <family val="0"/>
      <charset val="1"/>
    </font>
    <font>
      <i val="true"/>
      <sz val="9"/>
      <color rgb="FF777777"/>
      <name val="Arial"/>
      <family val="0"/>
      <charset val="1"/>
    </font>
    <font>
      <sz val="10"/>
      <color rgb="FF0000FF"/>
      <name val="Arial"/>
      <family val="0"/>
      <charset val="1"/>
    </font>
    <font>
      <sz val="10"/>
      <color rgb="FF000000"/>
      <name val="Arial"/>
      <family val="0"/>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6" fontId="11" fillId="2"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A1F3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08"/>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row>
    <row r="5" customFormat="false" ht="23.85" hidden="false" customHeight="false" outlineLevel="0" collapsed="false">
      <c r="A5" s="5" t="s">
        <v>2</v>
      </c>
      <c r="B5" s="4" t="s">
        <v>3</v>
      </c>
    </row>
    <row r="6" customFormat="false" ht="15" hidden="false" customHeight="false" outlineLevel="0" collapsed="false">
      <c r="A6" s="3"/>
      <c r="B6" s="4"/>
    </row>
    <row r="7" customFormat="false" ht="15" hidden="false" customHeight="false" outlineLevel="0" collapsed="false">
      <c r="A7" s="3" t="s">
        <v>4</v>
      </c>
      <c r="B7" s="4" t="s">
        <v>5</v>
      </c>
    </row>
    <row r="8" customFormat="false" ht="23.85" hidden="false" customHeight="false" outlineLevel="0" collapsed="false">
      <c r="A8" s="3" t="s">
        <v>6</v>
      </c>
      <c r="B8" s="4" t="s">
        <v>7</v>
      </c>
    </row>
    <row r="9" customFormat="false" ht="15" hidden="false" customHeight="false" outlineLevel="0" collapsed="false">
      <c r="A9" s="3"/>
      <c r="B9" s="4"/>
    </row>
    <row r="10" customFormat="false" ht="15" hidden="false" customHeight="false" outlineLevel="0" collapsed="false">
      <c r="A10" s="3" t="s">
        <v>8</v>
      </c>
      <c r="B10" s="4"/>
    </row>
    <row r="12" customFormat="false" ht="15" hidden="false" customHeight="false" outlineLevel="0" collapsed="false">
      <c r="A12" s="6"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64"/>
  </cols>
  <sheetData>
    <row r="1" customFormat="false" ht="19.7" hidden="false" customHeight="false" outlineLevel="0" collapsed="false">
      <c r="A1" s="1" t="s">
        <v>10</v>
      </c>
    </row>
    <row r="2" customFormat="false" ht="15" hidden="false" customHeight="false" outlineLevel="0" collapsed="false">
      <c r="A2" s="2" t="s">
        <v>11</v>
      </c>
    </row>
    <row r="4" customFormat="false" ht="15" hidden="false" customHeight="false" outlineLevel="0" collapsed="false">
      <c r="A4" s="5" t="s">
        <v>12</v>
      </c>
    </row>
    <row r="5" customFormat="false" ht="15" hidden="false" customHeight="false" outlineLevel="0" collapsed="false">
      <c r="A5" s="7" t="s">
        <v>13</v>
      </c>
      <c r="B5" s="8" t="n">
        <v>1100000</v>
      </c>
    </row>
    <row r="6" customFormat="false" ht="15" hidden="false" customHeight="false" outlineLevel="0" collapsed="false">
      <c r="A6" s="7" t="s">
        <v>14</v>
      </c>
      <c r="B6" s="9" t="n">
        <v>0.2</v>
      </c>
    </row>
    <row r="7" customFormat="false" ht="15" hidden="false" customHeight="false" outlineLevel="0" collapsed="false">
      <c r="A7" s="7" t="s">
        <v>15</v>
      </c>
      <c r="B7" s="10" t="n">
        <v>0.0625</v>
      </c>
      <c r="C7" s="6" t="s">
        <v>16</v>
      </c>
    </row>
    <row r="8" customFormat="false" ht="15" hidden="false" customHeight="false" outlineLevel="0" collapsed="false">
      <c r="A8" s="7" t="s">
        <v>17</v>
      </c>
      <c r="B8" s="11" t="n">
        <v>30</v>
      </c>
    </row>
    <row r="9" customFormat="false" ht="15" hidden="false" customHeight="false" outlineLevel="0" collapsed="false">
      <c r="A9" s="7" t="s">
        <v>18</v>
      </c>
      <c r="B9" s="9" t="n">
        <v>0.015</v>
      </c>
      <c r="C9" s="6" t="s">
        <v>19</v>
      </c>
    </row>
    <row r="11" customFormat="false" ht="15" hidden="false" customHeight="false" outlineLevel="0" collapsed="false">
      <c r="A11" s="5" t="s">
        <v>20</v>
      </c>
    </row>
    <row r="12" customFormat="false" ht="15" hidden="false" customHeight="false" outlineLevel="0" collapsed="false">
      <c r="A12" s="7" t="s">
        <v>21</v>
      </c>
      <c r="B12" s="12" t="n">
        <v>0.0115</v>
      </c>
      <c r="C12" s="6" t="s">
        <v>22</v>
      </c>
    </row>
    <row r="13" customFormat="false" ht="15" hidden="false" customHeight="false" outlineLevel="0" collapsed="false">
      <c r="A13" s="7" t="s">
        <v>23</v>
      </c>
      <c r="B13" s="8" t="n">
        <v>2800</v>
      </c>
      <c r="C13" s="6" t="s">
        <v>24</v>
      </c>
    </row>
    <row r="14" customFormat="false" ht="15" hidden="false" customHeight="false" outlineLevel="0" collapsed="false">
      <c r="A14" s="7" t="s">
        <v>25</v>
      </c>
      <c r="B14" s="8" t="n">
        <v>0</v>
      </c>
    </row>
    <row r="15" customFormat="false" ht="15" hidden="false" customHeight="false" outlineLevel="0" collapsed="false">
      <c r="A15" s="7" t="s">
        <v>26</v>
      </c>
      <c r="B15" s="9" t="n">
        <v>0.01</v>
      </c>
      <c r="C15" s="6" t="s">
        <v>27</v>
      </c>
    </row>
    <row r="16" customFormat="false" ht="15" hidden="false" customHeight="false" outlineLevel="0" collapsed="false">
      <c r="A16" s="7" t="s">
        <v>28</v>
      </c>
      <c r="B16" s="8" t="n">
        <v>150</v>
      </c>
      <c r="C16" s="6" t="s">
        <v>29</v>
      </c>
    </row>
    <row r="18" customFormat="false" ht="15" hidden="false" customHeight="false" outlineLevel="0" collapsed="false">
      <c r="A18" s="5" t="s">
        <v>30</v>
      </c>
    </row>
    <row r="19" customFormat="false" ht="15" hidden="false" customHeight="false" outlineLevel="0" collapsed="false">
      <c r="A19" s="7" t="s">
        <v>31</v>
      </c>
      <c r="B19" s="13" t="n">
        <f aca="false">B5*B6</f>
        <v>220000</v>
      </c>
    </row>
    <row r="20" customFormat="false" ht="15" hidden="false" customHeight="false" outlineLevel="0" collapsed="false">
      <c r="A20" s="7" t="s">
        <v>32</v>
      </c>
      <c r="B20" s="13" t="n">
        <f aca="false">B5-B19</f>
        <v>880000</v>
      </c>
    </row>
    <row r="21" customFormat="false" ht="15" hidden="false" customHeight="false" outlineLevel="0" collapsed="false">
      <c r="A21" s="3" t="s">
        <v>33</v>
      </c>
      <c r="B21" s="13" t="n">
        <f aca="false">-PMT(B7/12,B8*12,B20)</f>
        <v>5418.31136375225</v>
      </c>
    </row>
    <row r="22" customFormat="false" ht="15" hidden="false" customHeight="false" outlineLevel="0" collapsed="false">
      <c r="A22" s="7" t="s">
        <v>34</v>
      </c>
      <c r="B22" s="13" t="n">
        <f aca="false">B5*B12/12</f>
        <v>1054.16666666667</v>
      </c>
    </row>
    <row r="23" customFormat="false" ht="15" hidden="false" customHeight="false" outlineLevel="0" collapsed="false">
      <c r="A23" s="7" t="s">
        <v>35</v>
      </c>
      <c r="B23" s="13" t="n">
        <f aca="false">B13/12</f>
        <v>233.333333333333</v>
      </c>
    </row>
    <row r="24" customFormat="false" ht="15" hidden="false" customHeight="false" outlineLevel="0" collapsed="false">
      <c r="A24" s="7" t="s">
        <v>36</v>
      </c>
      <c r="B24" s="13" t="n">
        <f aca="false">B14</f>
        <v>0</v>
      </c>
    </row>
    <row r="25" customFormat="false" ht="15" hidden="false" customHeight="false" outlineLevel="0" collapsed="false">
      <c r="A25" s="7" t="s">
        <v>37</v>
      </c>
      <c r="B25" s="13" t="n">
        <f aca="false">B5*B15/12</f>
        <v>916.666666666667</v>
      </c>
    </row>
    <row r="26" customFormat="false" ht="15" hidden="false" customHeight="false" outlineLevel="0" collapsed="false">
      <c r="A26" s="7" t="s">
        <v>38</v>
      </c>
      <c r="B26" s="13" t="n">
        <f aca="false">B16</f>
        <v>150</v>
      </c>
    </row>
    <row r="27" customFormat="false" ht="15" hidden="false" customHeight="false" outlineLevel="0" collapsed="false">
      <c r="A27" s="3" t="s">
        <v>39</v>
      </c>
      <c r="B27" s="14" t="n">
        <f aca="false">SUM(B21:B26)</f>
        <v>7772.47803041891</v>
      </c>
      <c r="C27" s="6" t="s">
        <v>40</v>
      </c>
    </row>
    <row r="28" customFormat="false" ht="15" hidden="false" customHeight="false" outlineLevel="0" collapsed="false">
      <c r="A28" s="7" t="s">
        <v>41</v>
      </c>
      <c r="B28" s="13" t="n">
        <f aca="false">B21+B22+B23</f>
        <v>6705.81136375225</v>
      </c>
    </row>
    <row r="29" customFormat="false" ht="15" hidden="false" customHeight="false" outlineLevel="0" collapsed="false">
      <c r="A29" s="3" t="s">
        <v>42</v>
      </c>
      <c r="B29" s="13" t="n">
        <f aca="false">B27-B28</f>
        <v>1066.66666666667</v>
      </c>
    </row>
    <row r="31" customFormat="false" ht="15" hidden="false" customHeight="false" outlineLevel="0" collapsed="false">
      <c r="A31" s="5" t="s">
        <v>43</v>
      </c>
    </row>
    <row r="32" customFormat="false" ht="15" hidden="false" customHeight="false" outlineLevel="0" collapsed="false">
      <c r="A32" s="7" t="s">
        <v>44</v>
      </c>
      <c r="B32" s="13" t="n">
        <f aca="false">B19+B5*B9</f>
        <v>236500</v>
      </c>
    </row>
    <row r="33" customFormat="false" ht="15" hidden="false" customHeight="false" outlineLevel="0" collapsed="false">
      <c r="A33" s="7" t="s">
        <v>45</v>
      </c>
      <c r="B33" s="13" t="n">
        <f aca="false">B27*60</f>
        <v>466348.681825135</v>
      </c>
    </row>
    <row r="34" customFormat="false" ht="15" hidden="false" customHeight="false" outlineLevel="0" collapsed="false">
      <c r="A34" s="7" t="s">
        <v>46</v>
      </c>
      <c r="B34" s="13" t="n">
        <f aca="false">-CUMPRINC(B7/12,B8*12,B20,1,60,0)</f>
        <v>58632.2752176343</v>
      </c>
      <c r="C34" s="6" t="s">
        <v>47</v>
      </c>
    </row>
    <row r="35" customFormat="false" ht="15" hidden="false" customHeight="false" outlineLevel="0" collapsed="false">
      <c r="A35" s="7" t="s">
        <v>48</v>
      </c>
      <c r="B35" s="13" t="n">
        <f aca="false">B5*(1.03^5-1)</f>
        <v>175201.48173</v>
      </c>
    </row>
    <row r="36" customFormat="false" ht="15" hidden="false" customHeight="false" outlineLevel="0" collapsed="false">
      <c r="A36" s="3" t="s">
        <v>49</v>
      </c>
      <c r="B36" s="14" t="n">
        <f aca="false">B32+B33-B34-B35</f>
        <v>469014.9248775</v>
      </c>
      <c r="C36" s="6" t="s">
        <v>50</v>
      </c>
    </row>
    <row r="38" customFormat="false" ht="15" hidden="false" customHeight="false" outlineLevel="0" collapsed="false">
      <c r="A38" s="7" t="s">
        <v>51</v>
      </c>
      <c r="B38" s="8" t="n">
        <v>4200</v>
      </c>
    </row>
    <row r="39" customFormat="false" ht="15" hidden="false" customHeight="false" outlineLevel="0" collapsed="false">
      <c r="A39" s="7" t="s">
        <v>52</v>
      </c>
      <c r="B39" s="13" t="n">
        <f aca="false">B38*12*(1+1.03+1.03^2+1.03^3+1.03^4)</f>
        <v>267580.444824</v>
      </c>
    </row>
    <row r="40" customFormat="false" ht="15" hidden="false" customHeight="false" outlineLevel="0" collapsed="false">
      <c r="A40" s="3" t="s">
        <v>53</v>
      </c>
      <c r="B40" s="15" t="str">
        <f aca="false">IF(B36&lt;B39,"Owning wins by "&amp;TEXT(B39-B36,"$#,##0"),"Renting wins by "&amp;TEXT(B36-B39,"$#,##0"))</f>
        <v>Renting wins by $201,434</v>
      </c>
      <c r="C40" s="6" t="s">
        <v>54</v>
      </c>
    </row>
    <row r="42" customFormat="false" ht="15" hidden="false" customHeight="false" outlineLevel="0" collapsed="false">
      <c r="A42" s="6"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64"/>
  </cols>
  <sheetData>
    <row r="1" customFormat="false" ht="19.7" hidden="false" customHeight="false" outlineLevel="0" collapsed="false">
      <c r="A1" s="1" t="s">
        <v>55</v>
      </c>
    </row>
    <row r="2" customFormat="false" ht="15" hidden="false" customHeight="false" outlineLevel="0" collapsed="false">
      <c r="A2" s="2" t="s">
        <v>56</v>
      </c>
    </row>
    <row r="4" customFormat="false" ht="15" hidden="false" customHeight="false" outlineLevel="0" collapsed="false">
      <c r="A4" s="5" t="s">
        <v>57</v>
      </c>
    </row>
    <row r="5" customFormat="false" ht="15" hidden="false" customHeight="false" outlineLevel="0" collapsed="false">
      <c r="A5" s="7" t="s">
        <v>13</v>
      </c>
      <c r="B5" s="8" t="n">
        <v>850000</v>
      </c>
    </row>
    <row r="6" customFormat="false" ht="15" hidden="false" customHeight="false" outlineLevel="0" collapsed="false">
      <c r="A6" s="7" t="s">
        <v>14</v>
      </c>
      <c r="B6" s="9" t="n">
        <v>0.25</v>
      </c>
      <c r="C6" s="6" t="s">
        <v>58</v>
      </c>
    </row>
    <row r="7" customFormat="false" ht="15" hidden="false" customHeight="false" outlineLevel="0" collapsed="false">
      <c r="A7" s="7" t="s">
        <v>59</v>
      </c>
      <c r="B7" s="10" t="n">
        <v>0.0675</v>
      </c>
      <c r="C7" s="6" t="s">
        <v>60</v>
      </c>
    </row>
    <row r="8" customFormat="false" ht="15" hidden="false" customHeight="false" outlineLevel="0" collapsed="false">
      <c r="A8" s="7" t="s">
        <v>17</v>
      </c>
      <c r="B8" s="11" t="n">
        <v>30</v>
      </c>
    </row>
    <row r="9" customFormat="false" ht="15" hidden="false" customHeight="false" outlineLevel="0" collapsed="false">
      <c r="A9" s="7" t="s">
        <v>61</v>
      </c>
      <c r="B9" s="9" t="n">
        <v>0.02</v>
      </c>
    </row>
    <row r="10" customFormat="false" ht="15" hidden="false" customHeight="false" outlineLevel="0" collapsed="false">
      <c r="A10" s="7" t="s">
        <v>62</v>
      </c>
      <c r="B10" s="8" t="n">
        <v>15000</v>
      </c>
    </row>
    <row r="12" customFormat="false" ht="15" hidden="false" customHeight="false" outlineLevel="0" collapsed="false">
      <c r="A12" s="5" t="s">
        <v>63</v>
      </c>
    </row>
    <row r="13" customFormat="false" ht="15" hidden="false" customHeight="false" outlineLevel="0" collapsed="false">
      <c r="A13" s="7" t="s">
        <v>64</v>
      </c>
      <c r="B13" s="8" t="n">
        <v>4300</v>
      </c>
    </row>
    <row r="14" customFormat="false" ht="15" hidden="false" customHeight="false" outlineLevel="0" collapsed="false">
      <c r="A14" s="7" t="s">
        <v>65</v>
      </c>
      <c r="B14" s="8" t="n">
        <v>0</v>
      </c>
    </row>
    <row r="15" customFormat="false" ht="15" hidden="false" customHeight="false" outlineLevel="0" collapsed="false">
      <c r="A15" s="7" t="s">
        <v>66</v>
      </c>
      <c r="B15" s="9" t="n">
        <v>0.05</v>
      </c>
      <c r="C15" s="6" t="s">
        <v>67</v>
      </c>
    </row>
    <row r="17" customFormat="false" ht="15" hidden="false" customHeight="false" outlineLevel="0" collapsed="false">
      <c r="A17" s="5" t="s">
        <v>68</v>
      </c>
    </row>
    <row r="18" customFormat="false" ht="15" hidden="false" customHeight="false" outlineLevel="0" collapsed="false">
      <c r="A18" s="7" t="s">
        <v>69</v>
      </c>
      <c r="B18" s="12" t="n">
        <v>0.0115</v>
      </c>
      <c r="C18" s="6" t="s">
        <v>70</v>
      </c>
    </row>
    <row r="19" customFormat="false" ht="15" hidden="false" customHeight="false" outlineLevel="0" collapsed="false">
      <c r="A19" s="7" t="s">
        <v>71</v>
      </c>
      <c r="B19" s="8" t="n">
        <v>2400</v>
      </c>
    </row>
    <row r="20" customFormat="false" ht="15" hidden="false" customHeight="false" outlineLevel="0" collapsed="false">
      <c r="A20" s="7" t="s">
        <v>72</v>
      </c>
      <c r="B20" s="9" t="n">
        <v>0.08</v>
      </c>
      <c r="C20" s="6" t="s">
        <v>73</v>
      </c>
    </row>
    <row r="21" customFormat="false" ht="15" hidden="false" customHeight="false" outlineLevel="0" collapsed="false">
      <c r="A21" s="7" t="s">
        <v>74</v>
      </c>
      <c r="B21" s="9" t="n">
        <v>0.08</v>
      </c>
    </row>
    <row r="22" customFormat="false" ht="15" hidden="false" customHeight="false" outlineLevel="0" collapsed="false">
      <c r="A22" s="7" t="s">
        <v>75</v>
      </c>
      <c r="B22" s="9" t="n">
        <v>0.07</v>
      </c>
      <c r="C22" s="6" t="s">
        <v>76</v>
      </c>
    </row>
    <row r="23" customFormat="false" ht="15" hidden="false" customHeight="false" outlineLevel="0" collapsed="false">
      <c r="A23" s="7" t="s">
        <v>77</v>
      </c>
      <c r="B23" s="8" t="n">
        <v>1800</v>
      </c>
    </row>
    <row r="25" customFormat="false" ht="15" hidden="false" customHeight="false" outlineLevel="0" collapsed="false">
      <c r="A25" s="5" t="s">
        <v>78</v>
      </c>
    </row>
    <row r="26" customFormat="false" ht="15" hidden="false" customHeight="false" outlineLevel="0" collapsed="false">
      <c r="A26" s="7" t="s">
        <v>79</v>
      </c>
      <c r="B26" s="13" t="n">
        <f aca="false">(B13+B14)*12</f>
        <v>51600</v>
      </c>
    </row>
    <row r="27" customFormat="false" ht="15" hidden="false" customHeight="false" outlineLevel="0" collapsed="false">
      <c r="A27" s="7" t="s">
        <v>80</v>
      </c>
      <c r="B27" s="13" t="n">
        <f aca="false">B26*(1-B15)</f>
        <v>49020</v>
      </c>
    </row>
    <row r="28" customFormat="false" ht="15" hidden="false" customHeight="false" outlineLevel="0" collapsed="false">
      <c r="A28" s="7" t="s">
        <v>81</v>
      </c>
      <c r="B28" s="13" t="n">
        <f aca="false">B5*B18+B19+B27*(B20+B21+B22)+B23</f>
        <v>25249.6</v>
      </c>
      <c r="C28" s="6" t="s">
        <v>82</v>
      </c>
    </row>
    <row r="29" customFormat="false" ht="15" hidden="false" customHeight="false" outlineLevel="0" collapsed="false">
      <c r="A29" s="3" t="s">
        <v>83</v>
      </c>
      <c r="B29" s="13" t="n">
        <f aca="false">B27-B28</f>
        <v>23770.4</v>
      </c>
    </row>
    <row r="30" customFormat="false" ht="15" hidden="false" customHeight="false" outlineLevel="0" collapsed="false">
      <c r="A30" s="7" t="s">
        <v>84</v>
      </c>
      <c r="B30" s="16" t="n">
        <f aca="false">B29/B5</f>
        <v>0.0279651764705882</v>
      </c>
    </row>
    <row r="31" customFormat="false" ht="15" hidden="false" customHeight="false" outlineLevel="0" collapsed="false">
      <c r="A31" s="7" t="s">
        <v>85</v>
      </c>
      <c r="B31" s="13" t="n">
        <f aca="false">-PMT(B7/12,B8*12,B5*(1-B6))*12</f>
        <v>49617.7543874685</v>
      </c>
    </row>
    <row r="32" customFormat="false" ht="15" hidden="false" customHeight="false" outlineLevel="0" collapsed="false">
      <c r="A32" s="3" t="s">
        <v>86</v>
      </c>
      <c r="B32" s="14" t="n">
        <f aca="false">B29-B31</f>
        <v>-25847.3543874685</v>
      </c>
    </row>
    <row r="33" customFormat="false" ht="15" hidden="false" customHeight="false" outlineLevel="0" collapsed="false">
      <c r="A33" s="7" t="s">
        <v>87</v>
      </c>
      <c r="B33" s="13" t="n">
        <f aca="false">B32/12</f>
        <v>-2153.94619895571</v>
      </c>
    </row>
    <row r="34" customFormat="false" ht="15" hidden="false" customHeight="false" outlineLevel="0" collapsed="false">
      <c r="A34" s="7" t="s">
        <v>88</v>
      </c>
      <c r="B34" s="13" t="n">
        <f aca="false">B5*B6+B5*B9+B10</f>
        <v>244500</v>
      </c>
    </row>
    <row r="35" customFormat="false" ht="15" hidden="false" customHeight="false" outlineLevel="0" collapsed="false">
      <c r="A35" s="3" t="s">
        <v>89</v>
      </c>
      <c r="B35" s="16" t="n">
        <f aca="false">B32/B34</f>
        <v>-0.105715150868992</v>
      </c>
    </row>
    <row r="36" customFormat="false" ht="15" hidden="false" customHeight="false" outlineLevel="0" collapsed="false">
      <c r="A36" s="7" t="s">
        <v>90</v>
      </c>
      <c r="B36" s="17" t="n">
        <f aca="false">B29/B31</f>
        <v>0.479070451564077</v>
      </c>
    </row>
    <row r="37" customFormat="false" ht="15" hidden="false" customHeight="false" outlineLevel="0" collapsed="false">
      <c r="A37" s="7" t="s">
        <v>91</v>
      </c>
      <c r="B37" s="18" t="n">
        <f aca="false">B13/B5</f>
        <v>0.00505882352941177</v>
      </c>
      <c r="C37" s="6" t="s">
        <v>92</v>
      </c>
    </row>
    <row r="38" customFormat="false" ht="15" hidden="false" customHeight="false" outlineLevel="0" collapsed="false">
      <c r="A38" s="7" t="s">
        <v>93</v>
      </c>
      <c r="B38" s="19" t="n">
        <f aca="false">B28/B27</f>
        <v>0.515087719298246</v>
      </c>
      <c r="C38" s="6" t="s">
        <v>94</v>
      </c>
    </row>
    <row r="40" customFormat="false" ht="15" hidden="false" customHeight="false" outlineLevel="0" collapsed="false">
      <c r="A40" s="5" t="s">
        <v>95</v>
      </c>
    </row>
    <row r="41" customFormat="false" ht="15" hidden="false" customHeight="false" outlineLevel="0" collapsed="false">
      <c r="A41" s="7" t="s">
        <v>96</v>
      </c>
      <c r="B41" s="13" t="n">
        <f aca="false">B5*0.75</f>
        <v>637500</v>
      </c>
      <c r="C41" s="6" t="s">
        <v>97</v>
      </c>
    </row>
    <row r="42" customFormat="false" ht="15" hidden="false" customHeight="false" outlineLevel="0" collapsed="false">
      <c r="A42" s="7" t="s">
        <v>98</v>
      </c>
      <c r="B42" s="13" t="n">
        <f aca="false">B41/27.5</f>
        <v>23181.8181818182</v>
      </c>
      <c r="C42" s="6" t="s">
        <v>99</v>
      </c>
    </row>
    <row r="43" customFormat="false" ht="15" hidden="false" customHeight="false" outlineLevel="0" collapsed="false">
      <c r="A43" s="7" t="s">
        <v>100</v>
      </c>
      <c r="B43" s="13" t="n">
        <f aca="false">MAX(0,B32-B42)</f>
        <v>0</v>
      </c>
      <c r="C43" s="6" t="s">
        <v>101</v>
      </c>
    </row>
    <row r="45" customFormat="false" ht="15" hidden="false" customHeight="false" outlineLevel="0" collapsed="false">
      <c r="A45" s="6"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2026-07-05T23:09:45Z</dcterms:created>
  <dc:creator>openpyxl</dc:creator>
  <dc:description/>
  <dc:language>en-US</dc:language>
  <cp:lastModifiedBy/>
  <dcterms:modified xsi:type="dcterms:W3CDTF">2026-07-05T23:09:45Z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