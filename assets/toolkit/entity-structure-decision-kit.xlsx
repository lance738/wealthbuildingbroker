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-Corp Breakeven" sheetId="2" state="visible" r:id="rId4"/>
    <sheet name="Breakeven Table" sheetId="3" state="visible" r:id="rId5"/>
    <sheet name="Reasonable Comp" sheetId="4" state="visible" r:id="rId6"/>
    <sheet name="CPA Checkli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<sst xmlns="http://schemas.openxmlformats.org/spreadsheetml/2006/main" count="131" uniqueCount="116">
  <si>
    <t xml:space="preserve">Entity Structure Decision Kit</t>
  </si>
  <si>
    <t xml:space="preserve">Broker Financial Toolkit · Wealth Building Broker · 2026 Edition</t>
  </si>
  <si>
    <t xml:space="preserve">What this kit does:</t>
  </si>
  <si>
    <t xml:space="preserve">1. S-Corp Breakeven</t>
  </si>
  <si>
    <t xml:space="preserve">Models sole proprietor vs. S-corp at YOUR income, with real 2026 payroll tax numbers and California costs.</t>
  </si>
  <si>
    <t xml:space="preserve">2. Breakeven Table</t>
  </si>
  <si>
    <t xml:space="preserve">Shows the savings (or cost) of an S-corp at every income level from $60K to $400K so you can see where the math flips.</t>
  </si>
  <si>
    <t xml:space="preserve">3. Reasonable Comp</t>
  </si>
  <si>
    <t xml:space="preserve">Builds a defensible reasonable-compensation figure from what you actually do all week — the worksheet to bring to your CPA.</t>
  </si>
  <si>
    <t xml:space="preserve">4. CPA Checklist</t>
  </si>
  <si>
    <t xml:space="preserve">The exact questions to ask before you convert. A 30-minute CPA meeting with this filled out beats a $2,000 exploratory engagement.</t>
  </si>
  <si>
    <t xml:space="preserve">How to use it:</t>
  </si>
  <si>
    <t xml:space="preserve">Blue cells</t>
  </si>
  <si>
    <t xml:space="preserve">Your inputs — change these.</t>
  </si>
  <si>
    <t xml:space="preserve">Yellow cells</t>
  </si>
  <si>
    <t xml:space="preserve">Key assumptions — review them once, they rarely change.</t>
  </si>
  <si>
    <t xml:space="preserve">Black cells</t>
  </si>
  <si>
    <t xml:space="preserve">Formulas — leave them alone.</t>
  </si>
  <si>
    <t xml:space="preserve">The one-sentence rule:</t>
  </si>
  <si>
    <t xml:space="preserve">If your net commission income (after expenses) is consistently above ~$60-80K, the S-corp conversation is worth having. This kit tells you how much it's worth.</t>
  </si>
  <si>
    <t xml:space="preserve">Educational tool only — not tax, legal, or investment advice. Verify all figures with your CPA. Lance Hulsey, CA Real Estate Broker, DRE# 01724888 · wealthbuildingbroker.com</t>
  </si>
  <si>
    <t xml:space="preserve">Sole Prop vs. S-Corp — 2026 Breakeven Model</t>
  </si>
  <si>
    <t xml:space="preserve">All tax constants are 2026 federal + California figures. Sources noted in column E.</t>
  </si>
  <si>
    <t xml:space="preserve">YOUR INPUTS</t>
  </si>
  <si>
    <t xml:space="preserve">Net commission income (after business expenses, before owner pay)</t>
  </si>
  <si>
    <t xml:space="preserve">Your Schedule C net profit if you filed as a sole prop</t>
  </si>
  <si>
    <t xml:space="preserve">Reasonable compensation (W-2 salary you'd pay yourself)</t>
  </si>
  <si>
    <t xml:space="preserve">Use the Reasonable Comp sheet to build this number</t>
  </si>
  <si>
    <t xml:space="preserve">Annual payroll service + bookkeeping upgrade cost</t>
  </si>
  <si>
    <t xml:space="preserve">Gusto/ADP ~$60-100/mo + extra bookkeeping</t>
  </si>
  <si>
    <t xml:space="preserve">Additional tax-prep cost (1120-S + payroll filings)</t>
  </si>
  <si>
    <t xml:space="preserve">CPA delta vs. Schedule C return</t>
  </si>
  <si>
    <t xml:space="preserve">2026 TAX CONSTANTS</t>
  </si>
  <si>
    <t xml:space="preserve">Social Security wage base (2026)</t>
  </si>
  <si>
    <t xml:space="preserve">Source: SSA.gov, 2026 contribution and benefit base</t>
  </si>
  <si>
    <t xml:space="preserve">SE income factor</t>
  </si>
  <si>
    <t xml:space="preserve">IRS Schedule SE — 92.35% of net SE income is taxable</t>
  </si>
  <si>
    <t xml:space="preserve">Social Security rate (combined)</t>
  </si>
  <si>
    <t xml:space="preserve">12.4% — employee+employer or SE</t>
  </si>
  <si>
    <t xml:space="preserve">Medicare rate (combined)</t>
  </si>
  <si>
    <t xml:space="preserve">2.9% on all earnings; +0.9% Addl Medicare over $200K single/$250K MFJ (not modeled)</t>
  </si>
  <si>
    <t xml:space="preserve">CA S-corp franchise tax rate</t>
  </si>
  <si>
    <t xml:space="preserve">1.5% of S-corp net income; $800 minimum. Source: FTB.ca.gov</t>
  </si>
  <si>
    <t xml:space="preserve">CA minimum franchise tax</t>
  </si>
  <si>
    <t xml:space="preserve">Waived first year for new corporations</t>
  </si>
  <si>
    <t xml:space="preserve">SCENARIO A — SOLE PROPRIETOR</t>
  </si>
  <si>
    <t xml:space="preserve">SE taxable base (net income × 92.35%)</t>
  </si>
  <si>
    <t xml:space="preserve">Social Security portion</t>
  </si>
  <si>
    <t xml:space="preserve">Medicare portion</t>
  </si>
  <si>
    <t xml:space="preserve">Total self-employment tax</t>
  </si>
  <si>
    <t xml:space="preserve">SCENARIO B — S-CORP</t>
  </si>
  <si>
    <t xml:space="preserve">FICA on W-2 salary (both halves)</t>
  </si>
  <si>
    <t xml:space="preserve">You pay both employee and employer halves</t>
  </si>
  <si>
    <t xml:space="preserve">S-corp profit subject to CA franchise tax</t>
  </si>
  <si>
    <t xml:space="preserve">Net income less salary and employer payroll taxes</t>
  </si>
  <si>
    <t xml:space="preserve">CA franchise tax (greater of 1.5% or $800)</t>
  </si>
  <si>
    <t xml:space="preserve">Payroll service + extra tax prep</t>
  </si>
  <si>
    <t xml:space="preserve">Total S-corp taxes + costs</t>
  </si>
  <si>
    <t xml:space="preserve">THE VERDICT</t>
  </si>
  <si>
    <t xml:space="preserve">Annual savings with S-corp</t>
  </si>
  <si>
    <t xml:space="preserve">Verdict</t>
  </si>
  <si>
    <t xml:space="preserve">Note: QBI interaction</t>
  </si>
  <si>
    <t xml:space="preserve">S-corp salary reduces your QBI deduction base. At higher incomes this partially offsets payroll-tax savings — ask your CPA to run both. QBI is permanent under OBBBA (2025).</t>
  </si>
  <si>
    <t xml:space="preserve">S-Corp Savings by Income Level</t>
  </si>
  <si>
    <t xml:space="preserve">Salary assumption below; all other constants from the Breakeven sheet.</t>
  </si>
  <si>
    <t xml:space="preserve">Salary as % of net income</t>
  </si>
  <si>
    <t xml:space="preserve">Typical CPA guidance lands between 40-60% — adjust and watch the table</t>
  </si>
  <si>
    <t xml:space="preserve">Minimum salary floor</t>
  </si>
  <si>
    <t xml:space="preserve">Reasonable comp can't be token-low; floor keeps the model honest</t>
  </si>
  <si>
    <t xml:space="preserve">Net Income</t>
  </si>
  <si>
    <t xml:space="preserve">Salary Used</t>
  </si>
  <si>
    <t xml:space="preserve">Sole-Prop SE Tax</t>
  </si>
  <si>
    <t xml:space="preserve">S-Corp Taxes + Costs</t>
  </si>
  <si>
    <t xml:space="preserve">Annual S-Corp Savings</t>
  </si>
  <si>
    <t xml:space="preserve">Reasonable Compensation Worksheet</t>
  </si>
  <si>
    <t xml:space="preserve">Build a defensible W-2 salary from what you actually do. Bring this to your CPA.</t>
  </si>
  <si>
    <t xml:space="preserve">Role you perform</t>
  </si>
  <si>
    <t xml:space="preserve">Hours / week</t>
  </si>
  <si>
    <t xml:space="preserve">Market rate ($/hr)</t>
  </si>
  <si>
    <t xml:space="preserve">Annualized value</t>
  </si>
  <si>
    <t xml:space="preserve">Basis for market rate</t>
  </si>
  <si>
    <t xml:space="preserve">Sales / prospecting / showings</t>
  </si>
  <si>
    <t xml:space="preserve">What a licensed showing/buyer's agent earns hourly in your market</t>
  </si>
  <si>
    <t xml:space="preserve">Transaction coordination &amp; admin</t>
  </si>
  <si>
    <t xml:space="preserve">Local TC hourly rate — check TC service pricing</t>
  </si>
  <si>
    <t xml:space="preserve">Marketing &amp; content</t>
  </si>
  <si>
    <t xml:space="preserve">Freelance marketing coordinator rate</t>
  </si>
  <si>
    <t xml:space="preserve">Business management &amp; finance</t>
  </si>
  <si>
    <t xml:space="preserve">Fractional ops/office manager rate</t>
  </si>
  <si>
    <t xml:space="preserve">Negotiation / contract work</t>
  </si>
  <si>
    <t xml:space="preserve">Senior agent / broker-level work</t>
  </si>
  <si>
    <t xml:space="preserve">Total hours / implied salary</t>
  </si>
  <si>
    <t xml:space="preserve">Assumes 50 working weeks — carries to nothing automatically; enter your chosen salary on the Breakeven sheet</t>
  </si>
  <si>
    <t xml:space="preserve">Cross-checks your CPA will want:</t>
  </si>
  <si>
    <t xml:space="preserve">· BLS median wage for CA real estate sales agents (search 'BLS OES 41-9022 California')</t>
  </si>
  <si>
    <t xml:space="preserve">· What brokerages pay licensed assistants and team salespeople in your county</t>
  </si>
  <si>
    <t xml:space="preserve">· RCReports or similar reasonable-comp study if income is $300K+ (the IRS uses these)</t>
  </si>
  <si>
    <t xml:space="preserve">Documentation beats theory: keep this worksheet with your corporate records, update annually.</t>
  </si>
  <si>
    <t xml:space="preserve">Before-You-Convert Checklist</t>
  </si>
  <si>
    <t xml:space="preserve">Answer what you can, ask your CPA the rest. Check items off as you go.</t>
  </si>
  <si>
    <t xml:space="preserve">THE MATH</t>
  </si>
  <si>
    <t xml:space="preserve">☐</t>
  </si>
  <si>
    <t xml:space="preserve">Is my net income consistently above the breakeven shown in this model — not just one good year?</t>
  </si>
  <si>
    <t xml:space="preserve">Run the S-corp math WITH the QBI deduction interaction. Does the savings hold after QBI?</t>
  </si>
  <si>
    <t xml:space="preserve">What reasonable comp will you defend for me, and what documentation do you want? (Bring the Reasonable Comp sheet.)</t>
  </si>
  <si>
    <t xml:space="preserve">THE MECHANICS</t>
  </si>
  <si>
    <t xml:space="preserve">LLC taxed as S-corp (Form 2553) or straight S-corp — which, and why? What's the filing deadline for my situation?</t>
  </si>
  <si>
    <t xml:space="preserve">Commissions must be paid to the entity: does my broker/state allow paying a licensed corporation? (CA: S-corp must hold a corporate license or use a licensed broker corporation — ask your broker of record.)</t>
  </si>
  <si>
    <t xml:space="preserve">Payroll setup: who runs it, what does it cost, and what's my filing calendar (941s, DE 9, W-2)?</t>
  </si>
  <si>
    <t xml:space="preserve">THE CALIFORNIA LAYER</t>
  </si>
  <si>
    <t xml:space="preserve">Confirm the 1.5% franchise tax / $800 minimum in my projection (first-year corp waiver?)</t>
  </si>
  <si>
    <t xml:space="preserve">If I'm an LLC now: is the LLC gross-receipts fee making the S-corp look better than it is?</t>
  </si>
  <si>
    <t xml:space="preserve">THE HOUSEKEEPING</t>
  </si>
  <si>
    <t xml:space="preserve">New EIN, business bank accounts, and commission re-papering — what breaks if I do this mid-year?</t>
  </si>
  <si>
    <t xml:space="preserve">Health insurance: how do I run owner premiums through payroll correctly (2% shareholder rules)?</t>
  </si>
  <si>
    <t xml:space="preserve">Retirement: Solo 401(k) or SEP — how does the employer contribution change once I have a W-2 salary?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</si>
</sst>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000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A1F3D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0A1F3D"/>
      <name val="Arial"/>
      <family val="0"/>
      <charset val="1"/>
    </font>
    <font>
      <i val="true"/>
      <sz val="9"/>
      <color rgb="FF777777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5F9"/>
        <bgColor rgb="FFFFFFFF"/>
      </patternFill>
    </fill>
    <fill>
      <patternFill patternType="solid">
        <fgColor rgb="FF0A1F3D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2F5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A1F3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3"/>
    </row>
    <row r="5" customFormat="false" ht="15" hidden="false" customHeight="false" outlineLevel="0" collapsed="false">
      <c r="A5" s="4" t="s">
        <v>2</v>
      </c>
      <c r="B5" s="3"/>
    </row>
    <row r="6" customFormat="false" ht="15" hidden="false" customHeight="false" outlineLevel="0" collapsed="false">
      <c r="A6" s="3" t="s">
        <v>3</v>
      </c>
      <c r="B6" s="3" t="s">
        <v>4</v>
      </c>
    </row>
    <row r="7" customFormat="false" ht="15" hidden="false" customHeight="false" outlineLevel="0" collapsed="false">
      <c r="A7" s="3" t="s">
        <v>5</v>
      </c>
      <c r="B7" s="3" t="s">
        <v>6</v>
      </c>
    </row>
    <row r="8" customFormat="false" ht="15" hidden="false" customHeight="false" outlineLevel="0" collapsed="false">
      <c r="A8" s="3" t="s">
        <v>7</v>
      </c>
      <c r="B8" s="3" t="s">
        <v>8</v>
      </c>
    </row>
    <row r="9" customFormat="false" ht="15" hidden="false" customHeight="false" outlineLevel="0" collapsed="false">
      <c r="A9" s="3" t="s">
        <v>9</v>
      </c>
      <c r="B9" s="3" t="s">
        <v>10</v>
      </c>
    </row>
    <row r="10" customFormat="false" ht="15" hidden="false" customHeight="false" outlineLevel="0" collapsed="false">
      <c r="A10" s="3"/>
      <c r="B10" s="3"/>
    </row>
    <row r="11" customFormat="false" ht="15" hidden="false" customHeight="false" outlineLevel="0" collapsed="false">
      <c r="A11" s="4" t="s">
        <v>11</v>
      </c>
      <c r="B11" s="3"/>
    </row>
    <row r="12" customFormat="false" ht="15" hidden="false" customHeight="false" outlineLevel="0" collapsed="false">
      <c r="A12" s="3" t="s">
        <v>12</v>
      </c>
      <c r="B12" s="3" t="s">
        <v>13</v>
      </c>
    </row>
    <row r="13" customFormat="false" ht="15" hidden="false" customHeight="false" outlineLevel="0" collapsed="false">
      <c r="A13" s="3" t="s">
        <v>14</v>
      </c>
      <c r="B13" s="3" t="s">
        <v>15</v>
      </c>
    </row>
    <row r="14" customFormat="false" ht="15" hidden="false" customHeight="false" outlineLevel="0" collapsed="false">
      <c r="A14" s="3" t="s">
        <v>16</v>
      </c>
      <c r="B14" s="3" t="s">
        <v>17</v>
      </c>
    </row>
    <row r="15" customFormat="false" ht="15" hidden="false" customHeight="false" outlineLevel="0" collapsed="false">
      <c r="A15" s="3"/>
      <c r="B15" s="3"/>
    </row>
    <row r="16" customFormat="false" ht="15" hidden="false" customHeight="false" outlineLevel="0" collapsed="false">
      <c r="A16" s="5" t="s">
        <v>18</v>
      </c>
      <c r="B16" s="3" t="s">
        <v>19</v>
      </c>
    </row>
    <row r="18" customFormat="false" ht="15" hidden="false" customHeight="false" outlineLevel="0" collapsed="false">
      <c r="A18" s="6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5"/>
    <col collapsed="false" customWidth="true" hidden="false" outlineLevel="0" max="5" min="5" style="0" width="58"/>
  </cols>
  <sheetData>
    <row r="1" customFormat="false" ht="19.7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22</v>
      </c>
    </row>
    <row r="4" customFormat="false" ht="15" hidden="false" customHeight="false" outlineLevel="0" collapsed="false">
      <c r="A4" s="5" t="s">
        <v>23</v>
      </c>
    </row>
    <row r="5" customFormat="false" ht="15" hidden="false" customHeight="false" outlineLevel="0" collapsed="false">
      <c r="A5" s="3" t="s">
        <v>24</v>
      </c>
      <c r="B5" s="7" t="n">
        <v>150000</v>
      </c>
      <c r="E5" s="6" t="s">
        <v>25</v>
      </c>
    </row>
    <row r="6" customFormat="false" ht="15" hidden="false" customHeight="false" outlineLevel="0" collapsed="false">
      <c r="A6" s="3" t="s">
        <v>26</v>
      </c>
      <c r="B6" s="7" t="n">
        <v>80000</v>
      </c>
      <c r="E6" s="6" t="s">
        <v>27</v>
      </c>
    </row>
    <row r="7" customFormat="false" ht="15" hidden="false" customHeight="false" outlineLevel="0" collapsed="false">
      <c r="A7" s="3" t="s">
        <v>28</v>
      </c>
      <c r="B7" s="7" t="n">
        <v>2400</v>
      </c>
      <c r="E7" s="6" t="s">
        <v>29</v>
      </c>
    </row>
    <row r="8" customFormat="false" ht="15" hidden="false" customHeight="false" outlineLevel="0" collapsed="false">
      <c r="A8" s="3" t="s">
        <v>30</v>
      </c>
      <c r="B8" s="7" t="n">
        <v>1200</v>
      </c>
      <c r="E8" s="6" t="s">
        <v>31</v>
      </c>
    </row>
    <row r="10" customFormat="false" ht="15" hidden="false" customHeight="false" outlineLevel="0" collapsed="false">
      <c r="A10" s="5" t="s">
        <v>32</v>
      </c>
    </row>
    <row r="11" customFormat="false" ht="15" hidden="false" customHeight="false" outlineLevel="0" collapsed="false">
      <c r="A11" s="3" t="s">
        <v>33</v>
      </c>
      <c r="B11" s="8" t="n">
        <v>184500</v>
      </c>
      <c r="E11" s="6" t="s">
        <v>34</v>
      </c>
    </row>
    <row r="12" customFormat="false" ht="15" hidden="false" customHeight="false" outlineLevel="0" collapsed="false">
      <c r="A12" s="3" t="s">
        <v>35</v>
      </c>
      <c r="B12" s="9" t="n">
        <v>0.9235</v>
      </c>
      <c r="E12" s="6" t="s">
        <v>36</v>
      </c>
    </row>
    <row r="13" customFormat="false" ht="15" hidden="false" customHeight="false" outlineLevel="0" collapsed="false">
      <c r="A13" s="3" t="s">
        <v>37</v>
      </c>
      <c r="B13" s="10" t="n">
        <v>0.124</v>
      </c>
      <c r="E13" s="6" t="s">
        <v>38</v>
      </c>
    </row>
    <row r="14" customFormat="false" ht="15" hidden="false" customHeight="false" outlineLevel="0" collapsed="false">
      <c r="A14" s="3" t="s">
        <v>39</v>
      </c>
      <c r="B14" s="10" t="n">
        <v>0.029</v>
      </c>
      <c r="E14" s="6" t="s">
        <v>40</v>
      </c>
    </row>
    <row r="15" customFormat="false" ht="15" hidden="false" customHeight="false" outlineLevel="0" collapsed="false">
      <c r="A15" s="3" t="s">
        <v>41</v>
      </c>
      <c r="B15" s="10" t="n">
        <v>0.015</v>
      </c>
      <c r="E15" s="6" t="s">
        <v>42</v>
      </c>
    </row>
    <row r="16" customFormat="false" ht="15" hidden="false" customHeight="false" outlineLevel="0" collapsed="false">
      <c r="A16" s="3" t="s">
        <v>43</v>
      </c>
      <c r="B16" s="8" t="n">
        <v>800</v>
      </c>
      <c r="E16" s="6" t="s">
        <v>44</v>
      </c>
    </row>
    <row r="18" customFormat="false" ht="15" hidden="false" customHeight="false" outlineLevel="0" collapsed="false">
      <c r="A18" s="5" t="s">
        <v>45</v>
      </c>
    </row>
    <row r="19" customFormat="false" ht="15" hidden="false" customHeight="false" outlineLevel="0" collapsed="false">
      <c r="A19" s="3" t="s">
        <v>46</v>
      </c>
      <c r="B19" s="11" t="n">
        <f aca="false">B5*B12</f>
        <v>138525</v>
      </c>
    </row>
    <row r="20" customFormat="false" ht="15" hidden="false" customHeight="false" outlineLevel="0" collapsed="false">
      <c r="A20" s="3" t="s">
        <v>47</v>
      </c>
      <c r="B20" s="11" t="n">
        <f aca="false">MIN(B19,B11)*B13</f>
        <v>17177.1</v>
      </c>
    </row>
    <row r="21" customFormat="false" ht="15" hidden="false" customHeight="false" outlineLevel="0" collapsed="false">
      <c r="A21" s="3" t="s">
        <v>48</v>
      </c>
      <c r="B21" s="11" t="n">
        <f aca="false">B19*B14</f>
        <v>4017.225</v>
      </c>
    </row>
    <row r="22" customFormat="false" ht="15" hidden="false" customHeight="false" outlineLevel="0" collapsed="false">
      <c r="A22" s="4" t="s">
        <v>49</v>
      </c>
      <c r="B22" s="12" t="n">
        <f aca="false">B20+B21</f>
        <v>21194.325</v>
      </c>
    </row>
    <row r="24" customFormat="false" ht="15" hidden="false" customHeight="false" outlineLevel="0" collapsed="false">
      <c r="A24" s="5" t="s">
        <v>50</v>
      </c>
    </row>
    <row r="25" customFormat="false" ht="15" hidden="false" customHeight="false" outlineLevel="0" collapsed="false">
      <c r="A25" s="3" t="s">
        <v>51</v>
      </c>
      <c r="B25" s="11" t="n">
        <f aca="false">MIN(B6,B11)*(B13+B14)</f>
        <v>12240</v>
      </c>
      <c r="E25" s="6" t="s">
        <v>52</v>
      </c>
    </row>
    <row r="26" customFormat="false" ht="15" hidden="false" customHeight="false" outlineLevel="0" collapsed="false">
      <c r="A26" s="3" t="s">
        <v>53</v>
      </c>
      <c r="B26" s="11" t="n">
        <f aca="false">MAX(0,B5-B6-B25/2)</f>
        <v>63880</v>
      </c>
      <c r="E26" s="6" t="s">
        <v>54</v>
      </c>
    </row>
    <row r="27" customFormat="false" ht="15" hidden="false" customHeight="false" outlineLevel="0" collapsed="false">
      <c r="A27" s="3" t="s">
        <v>55</v>
      </c>
      <c r="B27" s="11" t="n">
        <f aca="false">MAX(B16,B26*B15)</f>
        <v>958.2</v>
      </c>
    </row>
    <row r="28" customFormat="false" ht="15" hidden="false" customHeight="false" outlineLevel="0" collapsed="false">
      <c r="A28" s="3" t="s">
        <v>56</v>
      </c>
      <c r="B28" s="11" t="n">
        <f aca="false">B7+B8</f>
        <v>3600</v>
      </c>
    </row>
    <row r="29" customFormat="false" ht="15" hidden="false" customHeight="false" outlineLevel="0" collapsed="false">
      <c r="A29" s="4" t="s">
        <v>57</v>
      </c>
      <c r="B29" s="12" t="n">
        <f aca="false">B25+B27+B28</f>
        <v>16798.2</v>
      </c>
    </row>
    <row r="31" customFormat="false" ht="15" hidden="false" customHeight="false" outlineLevel="0" collapsed="false">
      <c r="A31" s="5" t="s">
        <v>58</v>
      </c>
    </row>
    <row r="32" customFormat="false" ht="15" hidden="false" customHeight="false" outlineLevel="0" collapsed="false">
      <c r="A32" s="4" t="s">
        <v>59</v>
      </c>
      <c r="B32" s="8" t="n">
        <f aca="false">B22-B29</f>
        <v>4396.125</v>
      </c>
    </row>
    <row r="33" customFormat="false" ht="15" hidden="false" customHeight="false" outlineLevel="0" collapsed="false">
      <c r="A33" s="3" t="s">
        <v>60</v>
      </c>
      <c r="B33" s="13" t="str">
        <f aca="false">IF(B32&gt;2000,"S-corp likely worth it — confirm with your CPA",IF(B32&gt;0,"Marginal — the admin burden may not justify it","Stay a sole prop for now"))</f>
        <v>S-corp likely worth it — confirm with your CPA</v>
      </c>
      <c r="C33" s="13"/>
      <c r="D33" s="13"/>
    </row>
    <row r="35" customFormat="false" ht="15" hidden="false" customHeight="false" outlineLevel="0" collapsed="false">
      <c r="A35" s="3" t="s">
        <v>61</v>
      </c>
      <c r="B35" s="14" t="s">
        <v>62</v>
      </c>
      <c r="C35" s="14"/>
      <c r="D35" s="14"/>
      <c r="E35" s="14"/>
    </row>
    <row r="37" customFormat="false" ht="15" hidden="false" customHeight="false" outlineLevel="0" collapsed="false">
      <c r="A37" s="6" t="s">
        <v>20</v>
      </c>
    </row>
  </sheetData>
  <mergeCells count="2">
    <mergeCell ref="B33:D33"/>
    <mergeCell ref="B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7"/>
  </cols>
  <sheetData>
    <row r="1" customFormat="false" ht="19.7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4" customFormat="false" ht="15" hidden="false" customHeight="false" outlineLevel="0" collapsed="false">
      <c r="A4" s="4" t="s">
        <v>65</v>
      </c>
      <c r="B4" s="15" t="n">
        <v>0.45</v>
      </c>
      <c r="C4" s="6" t="s">
        <v>66</v>
      </c>
    </row>
    <row r="5" customFormat="false" ht="15" hidden="false" customHeight="false" outlineLevel="0" collapsed="false">
      <c r="A5" s="4" t="s">
        <v>67</v>
      </c>
      <c r="B5" s="7" t="n">
        <v>45000</v>
      </c>
      <c r="C5" s="6" t="s">
        <v>68</v>
      </c>
    </row>
    <row r="7" customFormat="false" ht="26.85" hidden="false" customHeight="false" outlineLevel="0" collapsed="false">
      <c r="A7" s="16" t="s">
        <v>69</v>
      </c>
      <c r="B7" s="16" t="s">
        <v>70</v>
      </c>
      <c r="C7" s="16" t="s">
        <v>71</v>
      </c>
      <c r="D7" s="16" t="s">
        <v>72</v>
      </c>
      <c r="E7" s="16" t="s">
        <v>73</v>
      </c>
      <c r="F7" s="16" t="s">
        <v>60</v>
      </c>
    </row>
    <row r="8" customFormat="false" ht="15" hidden="false" customHeight="false" outlineLevel="0" collapsed="false">
      <c r="A8" s="17" t="n">
        <v>60000</v>
      </c>
      <c r="B8" s="17" t="n">
        <f aca="false">MAX($B$5,A8*$B$4)</f>
        <v>45000</v>
      </c>
      <c r="C8" s="17" t="n">
        <f aca="false">MIN(A8*'S-Corp Breakeven'!$B$12,'S-Corp Breakeven'!$B$11)*'S-Corp Breakeven'!$B$13+A8*'S-Corp Breakeven'!$B$12*'S-Corp Breakeven'!$B$14</f>
        <v>8477.73</v>
      </c>
      <c r="D8" s="17" t="n">
        <f aca="false">MIN(B8,'S-Corp Breakeven'!$B$11)*('S-Corp Breakeven'!$B$13+'S-Corp Breakeven'!$B$14)+MAX('S-Corp Breakeven'!$B$16,MAX(0,A8-B8-MIN(B8,'S-Corp Breakeven'!$B$11)*('S-Corp Breakeven'!$B$13+'S-Corp Breakeven'!$B$14)/2)*'S-Corp Breakeven'!$B$15)+'S-Corp Breakeven'!$B$7+'S-Corp Breakeven'!$B$8</f>
        <v>11285</v>
      </c>
      <c r="E8" s="17" t="n">
        <f aca="false">C8-D8</f>
        <v>-2807.27</v>
      </c>
      <c r="F8" s="18" t="str">
        <f aca="false">IF(E8&gt;2000,"Convert",IF(E8&gt;0,"Marginal","Stay sole prop"))</f>
        <v>Stay sole prop</v>
      </c>
    </row>
    <row r="9" customFormat="false" ht="15" hidden="false" customHeight="false" outlineLevel="0" collapsed="false">
      <c r="A9" s="17" t="n">
        <v>80000</v>
      </c>
      <c r="B9" s="17" t="n">
        <f aca="false">MAX($B$5,A9*$B$4)</f>
        <v>45000</v>
      </c>
      <c r="C9" s="17" t="n">
        <f aca="false">MIN(A9*'S-Corp Breakeven'!$B$12,'S-Corp Breakeven'!$B$11)*'S-Corp Breakeven'!$B$13+A9*'S-Corp Breakeven'!$B$12*'S-Corp Breakeven'!$B$14</f>
        <v>11303.64</v>
      </c>
      <c r="D9" s="17" t="n">
        <f aca="false">MIN(B9,'S-Corp Breakeven'!$B$11)*('S-Corp Breakeven'!$B$13+'S-Corp Breakeven'!$B$14)+MAX('S-Corp Breakeven'!$B$16,MAX(0,A9-B9-MIN(B9,'S-Corp Breakeven'!$B$11)*('S-Corp Breakeven'!$B$13+'S-Corp Breakeven'!$B$14)/2)*'S-Corp Breakeven'!$B$15)+'S-Corp Breakeven'!$B$7+'S-Corp Breakeven'!$B$8</f>
        <v>11285</v>
      </c>
      <c r="E9" s="17" t="n">
        <f aca="false">C9-D9</f>
        <v>18.6400000000012</v>
      </c>
      <c r="F9" s="18" t="str">
        <f aca="false">IF(E9&gt;2000,"Convert",IF(E9&gt;0,"Marginal","Stay sole prop"))</f>
        <v>Marginal</v>
      </c>
    </row>
    <row r="10" customFormat="false" ht="15" hidden="false" customHeight="false" outlineLevel="0" collapsed="false">
      <c r="A10" s="17" t="n">
        <v>100000</v>
      </c>
      <c r="B10" s="17" t="n">
        <f aca="false">MAX($B$5,A10*$B$4)</f>
        <v>45000</v>
      </c>
      <c r="C10" s="17" t="n">
        <f aca="false">MIN(A10*'S-Corp Breakeven'!$B$12,'S-Corp Breakeven'!$B$11)*'S-Corp Breakeven'!$B$13+A10*'S-Corp Breakeven'!$B$12*'S-Corp Breakeven'!$B$14</f>
        <v>14129.55</v>
      </c>
      <c r="D10" s="17" t="n">
        <f aca="false">MIN(B10,'S-Corp Breakeven'!$B$11)*('S-Corp Breakeven'!$B$13+'S-Corp Breakeven'!$B$14)+MAX('S-Corp Breakeven'!$B$16,MAX(0,A10-B10-MIN(B10,'S-Corp Breakeven'!$B$11)*('S-Corp Breakeven'!$B$13+'S-Corp Breakeven'!$B$14)/2)*'S-Corp Breakeven'!$B$15)+'S-Corp Breakeven'!$B$7+'S-Corp Breakeven'!$B$8</f>
        <v>11285</v>
      </c>
      <c r="E10" s="17" t="n">
        <f aca="false">C10-D10</f>
        <v>2844.55</v>
      </c>
      <c r="F10" s="18" t="str">
        <f aca="false">IF(E10&gt;2000,"Convert",IF(E10&gt;0,"Marginal","Stay sole prop"))</f>
        <v>Convert</v>
      </c>
    </row>
    <row r="11" customFormat="false" ht="15" hidden="false" customHeight="false" outlineLevel="0" collapsed="false">
      <c r="A11" s="17" t="n">
        <v>120000</v>
      </c>
      <c r="B11" s="17" t="n">
        <f aca="false">MAX($B$5,A11*$B$4)</f>
        <v>54000</v>
      </c>
      <c r="C11" s="17" t="n">
        <f aca="false">MIN(A11*'S-Corp Breakeven'!$B$12,'S-Corp Breakeven'!$B$11)*'S-Corp Breakeven'!$B$13+A11*'S-Corp Breakeven'!$B$12*'S-Corp Breakeven'!$B$14</f>
        <v>16955.46</v>
      </c>
      <c r="D11" s="17" t="n">
        <f aca="false">MIN(B11,'S-Corp Breakeven'!$B$11)*('S-Corp Breakeven'!$B$13+'S-Corp Breakeven'!$B$14)+MAX('S-Corp Breakeven'!$B$16,MAX(0,A11-B11-MIN(B11,'S-Corp Breakeven'!$B$11)*('S-Corp Breakeven'!$B$13+'S-Corp Breakeven'!$B$14)/2)*'S-Corp Breakeven'!$B$15)+'S-Corp Breakeven'!$B$7+'S-Corp Breakeven'!$B$8</f>
        <v>12790.035</v>
      </c>
      <c r="E11" s="17" t="n">
        <f aca="false">C11-D11</f>
        <v>4165.425</v>
      </c>
      <c r="F11" s="18" t="str">
        <f aca="false">IF(E11&gt;2000,"Convert",IF(E11&gt;0,"Marginal","Stay sole prop"))</f>
        <v>Convert</v>
      </c>
    </row>
    <row r="12" customFormat="false" ht="15" hidden="false" customHeight="false" outlineLevel="0" collapsed="false">
      <c r="A12" s="17" t="n">
        <v>140000</v>
      </c>
      <c r="B12" s="17" t="n">
        <f aca="false">MAX($B$5,A12*$B$4)</f>
        <v>63000</v>
      </c>
      <c r="C12" s="17" t="n">
        <f aca="false">MIN(A12*'S-Corp Breakeven'!$B$12,'S-Corp Breakeven'!$B$11)*'S-Corp Breakeven'!$B$13+A12*'S-Corp Breakeven'!$B$12*'S-Corp Breakeven'!$B$14</f>
        <v>19781.37</v>
      </c>
      <c r="D12" s="17" t="n">
        <f aca="false">MIN(B12,'S-Corp Breakeven'!$B$11)*('S-Corp Breakeven'!$B$13+'S-Corp Breakeven'!$B$14)+MAX('S-Corp Breakeven'!$B$16,MAX(0,A12-B12-MIN(B12,'S-Corp Breakeven'!$B$11)*('S-Corp Breakeven'!$B$13+'S-Corp Breakeven'!$B$14)/2)*'S-Corp Breakeven'!$B$15)+'S-Corp Breakeven'!$B$7+'S-Corp Breakeven'!$B$8</f>
        <v>14321.7075</v>
      </c>
      <c r="E12" s="17" t="n">
        <f aca="false">C12-D12</f>
        <v>5459.6625</v>
      </c>
      <c r="F12" s="18" t="str">
        <f aca="false">IF(E12&gt;2000,"Convert",IF(E12&gt;0,"Marginal","Stay sole prop"))</f>
        <v>Convert</v>
      </c>
    </row>
    <row r="13" customFormat="false" ht="15" hidden="false" customHeight="false" outlineLevel="0" collapsed="false">
      <c r="A13" s="17" t="n">
        <v>160000</v>
      </c>
      <c r="B13" s="17" t="n">
        <f aca="false">MAX($B$5,A13*$B$4)</f>
        <v>72000</v>
      </c>
      <c r="C13" s="17" t="n">
        <f aca="false">MIN(A13*'S-Corp Breakeven'!$B$12,'S-Corp Breakeven'!$B$11)*'S-Corp Breakeven'!$B$13+A13*'S-Corp Breakeven'!$B$12*'S-Corp Breakeven'!$B$14</f>
        <v>22607.28</v>
      </c>
      <c r="D13" s="17" t="n">
        <f aca="false">MIN(B13,'S-Corp Breakeven'!$B$11)*('S-Corp Breakeven'!$B$13+'S-Corp Breakeven'!$B$14)+MAX('S-Corp Breakeven'!$B$16,MAX(0,A13-B13-MIN(B13,'S-Corp Breakeven'!$B$11)*('S-Corp Breakeven'!$B$13+'S-Corp Breakeven'!$B$14)/2)*'S-Corp Breakeven'!$B$15)+'S-Corp Breakeven'!$B$7+'S-Corp Breakeven'!$B$8</f>
        <v>15853.38</v>
      </c>
      <c r="E13" s="17" t="n">
        <f aca="false">C13-D13</f>
        <v>6753.9</v>
      </c>
      <c r="F13" s="18" t="str">
        <f aca="false">IF(E13&gt;2000,"Convert",IF(E13&gt;0,"Marginal","Stay sole prop"))</f>
        <v>Convert</v>
      </c>
    </row>
    <row r="14" customFormat="false" ht="15" hidden="false" customHeight="false" outlineLevel="0" collapsed="false">
      <c r="A14" s="17" t="n">
        <v>180000</v>
      </c>
      <c r="B14" s="17" t="n">
        <f aca="false">MAX($B$5,A14*$B$4)</f>
        <v>81000</v>
      </c>
      <c r="C14" s="17" t="n">
        <f aca="false">MIN(A14*'S-Corp Breakeven'!$B$12,'S-Corp Breakeven'!$B$11)*'S-Corp Breakeven'!$B$13+A14*'S-Corp Breakeven'!$B$12*'S-Corp Breakeven'!$B$14</f>
        <v>25433.19</v>
      </c>
      <c r="D14" s="17" t="n">
        <f aca="false">MIN(B14,'S-Corp Breakeven'!$B$11)*('S-Corp Breakeven'!$B$13+'S-Corp Breakeven'!$B$14)+MAX('S-Corp Breakeven'!$B$16,MAX(0,A14-B14-MIN(B14,'S-Corp Breakeven'!$B$11)*('S-Corp Breakeven'!$B$13+'S-Corp Breakeven'!$B$14)/2)*'S-Corp Breakeven'!$B$15)+'S-Corp Breakeven'!$B$7+'S-Corp Breakeven'!$B$8</f>
        <v>17385.0525</v>
      </c>
      <c r="E14" s="17" t="n">
        <f aca="false">C14-D14</f>
        <v>8048.1375</v>
      </c>
      <c r="F14" s="18" t="str">
        <f aca="false">IF(E14&gt;2000,"Convert",IF(E14&gt;0,"Marginal","Stay sole prop"))</f>
        <v>Convert</v>
      </c>
    </row>
    <row r="15" customFormat="false" ht="15" hidden="false" customHeight="false" outlineLevel="0" collapsed="false">
      <c r="A15" s="17" t="n">
        <v>200000</v>
      </c>
      <c r="B15" s="17" t="n">
        <f aca="false">MAX($B$5,A15*$B$4)</f>
        <v>90000</v>
      </c>
      <c r="C15" s="17" t="n">
        <f aca="false">MIN(A15*'S-Corp Breakeven'!$B$12,'S-Corp Breakeven'!$B$11)*'S-Corp Breakeven'!$B$13+A15*'S-Corp Breakeven'!$B$12*'S-Corp Breakeven'!$B$14</f>
        <v>28234.3</v>
      </c>
      <c r="D15" s="17" t="n">
        <f aca="false">MIN(B15,'S-Corp Breakeven'!$B$11)*('S-Corp Breakeven'!$B$13+'S-Corp Breakeven'!$B$14)+MAX('S-Corp Breakeven'!$B$16,MAX(0,A15-B15-MIN(B15,'S-Corp Breakeven'!$B$11)*('S-Corp Breakeven'!$B$13+'S-Corp Breakeven'!$B$14)/2)*'S-Corp Breakeven'!$B$15)+'S-Corp Breakeven'!$B$7+'S-Corp Breakeven'!$B$8</f>
        <v>18916.725</v>
      </c>
      <c r="E15" s="17" t="n">
        <f aca="false">C15-D15</f>
        <v>9317.575</v>
      </c>
      <c r="F15" s="18" t="str">
        <f aca="false">IF(E15&gt;2000,"Convert",IF(E15&gt;0,"Marginal","Stay sole prop"))</f>
        <v>Convert</v>
      </c>
    </row>
    <row r="16" customFormat="false" ht="15" hidden="false" customHeight="false" outlineLevel="0" collapsed="false">
      <c r="A16" s="17" t="n">
        <v>220000</v>
      </c>
      <c r="B16" s="17" t="n">
        <f aca="false">MAX($B$5,A16*$B$4)</f>
        <v>99000</v>
      </c>
      <c r="C16" s="17" t="n">
        <f aca="false">MIN(A16*'S-Corp Breakeven'!$B$12,'S-Corp Breakeven'!$B$11)*'S-Corp Breakeven'!$B$13+A16*'S-Corp Breakeven'!$B$12*'S-Corp Breakeven'!$B$14</f>
        <v>28769.93</v>
      </c>
      <c r="D16" s="17" t="n">
        <f aca="false">MIN(B16,'S-Corp Breakeven'!$B$11)*('S-Corp Breakeven'!$B$13+'S-Corp Breakeven'!$B$14)+MAX('S-Corp Breakeven'!$B$16,MAX(0,A16-B16-MIN(B16,'S-Corp Breakeven'!$B$11)*('S-Corp Breakeven'!$B$13+'S-Corp Breakeven'!$B$14)/2)*'S-Corp Breakeven'!$B$15)+'S-Corp Breakeven'!$B$7+'S-Corp Breakeven'!$B$8</f>
        <v>20448.3975</v>
      </c>
      <c r="E16" s="17" t="n">
        <f aca="false">C16-D16</f>
        <v>8321.5325</v>
      </c>
      <c r="F16" s="18" t="str">
        <f aca="false">IF(E16&gt;2000,"Convert",IF(E16&gt;0,"Marginal","Stay sole prop"))</f>
        <v>Convert</v>
      </c>
    </row>
    <row r="17" customFormat="false" ht="15" hidden="false" customHeight="false" outlineLevel="0" collapsed="false">
      <c r="A17" s="17" t="n">
        <v>240000</v>
      </c>
      <c r="B17" s="17" t="n">
        <f aca="false">MAX($B$5,A17*$B$4)</f>
        <v>108000</v>
      </c>
      <c r="C17" s="17" t="n">
        <f aca="false">MIN(A17*'S-Corp Breakeven'!$B$12,'S-Corp Breakeven'!$B$11)*'S-Corp Breakeven'!$B$13+A17*'S-Corp Breakeven'!$B$12*'S-Corp Breakeven'!$B$14</f>
        <v>29305.56</v>
      </c>
      <c r="D17" s="17" t="n">
        <f aca="false">MIN(B17,'S-Corp Breakeven'!$B$11)*('S-Corp Breakeven'!$B$13+'S-Corp Breakeven'!$B$14)+MAX('S-Corp Breakeven'!$B$16,MAX(0,A17-B17-MIN(B17,'S-Corp Breakeven'!$B$11)*('S-Corp Breakeven'!$B$13+'S-Corp Breakeven'!$B$14)/2)*'S-Corp Breakeven'!$B$15)+'S-Corp Breakeven'!$B$7+'S-Corp Breakeven'!$B$8</f>
        <v>21980.07</v>
      </c>
      <c r="E17" s="17" t="n">
        <f aca="false">C17-D17</f>
        <v>7325.49</v>
      </c>
      <c r="F17" s="18" t="str">
        <f aca="false">IF(E17&gt;2000,"Convert",IF(E17&gt;0,"Marginal","Stay sole prop"))</f>
        <v>Convert</v>
      </c>
    </row>
    <row r="18" customFormat="false" ht="15" hidden="false" customHeight="false" outlineLevel="0" collapsed="false">
      <c r="A18" s="17" t="n">
        <v>260000</v>
      </c>
      <c r="B18" s="17" t="n">
        <f aca="false">MAX($B$5,A18*$B$4)</f>
        <v>117000</v>
      </c>
      <c r="C18" s="17" t="n">
        <f aca="false">MIN(A18*'S-Corp Breakeven'!$B$12,'S-Corp Breakeven'!$B$11)*'S-Corp Breakeven'!$B$13+A18*'S-Corp Breakeven'!$B$12*'S-Corp Breakeven'!$B$14</f>
        <v>29841.19</v>
      </c>
      <c r="D18" s="17" t="n">
        <f aca="false">MIN(B18,'S-Corp Breakeven'!$B$11)*('S-Corp Breakeven'!$B$13+'S-Corp Breakeven'!$B$14)+MAX('S-Corp Breakeven'!$B$16,MAX(0,A18-B18-MIN(B18,'S-Corp Breakeven'!$B$11)*('S-Corp Breakeven'!$B$13+'S-Corp Breakeven'!$B$14)/2)*'S-Corp Breakeven'!$B$15)+'S-Corp Breakeven'!$B$7+'S-Corp Breakeven'!$B$8</f>
        <v>23511.7425</v>
      </c>
      <c r="E18" s="17" t="n">
        <f aca="false">C18-D18</f>
        <v>6329.4475</v>
      </c>
      <c r="F18" s="18" t="str">
        <f aca="false">IF(E18&gt;2000,"Convert",IF(E18&gt;0,"Marginal","Stay sole prop"))</f>
        <v>Convert</v>
      </c>
    </row>
    <row r="19" customFormat="false" ht="15" hidden="false" customHeight="false" outlineLevel="0" collapsed="false">
      <c r="A19" s="17" t="n">
        <v>280000</v>
      </c>
      <c r="B19" s="17" t="n">
        <f aca="false">MAX($B$5,A19*$B$4)</f>
        <v>126000</v>
      </c>
      <c r="C19" s="17" t="n">
        <f aca="false">MIN(A19*'S-Corp Breakeven'!$B$12,'S-Corp Breakeven'!$B$11)*'S-Corp Breakeven'!$B$13+A19*'S-Corp Breakeven'!$B$12*'S-Corp Breakeven'!$B$14</f>
        <v>30376.82</v>
      </c>
      <c r="D19" s="17" t="n">
        <f aca="false">MIN(B19,'S-Corp Breakeven'!$B$11)*('S-Corp Breakeven'!$B$13+'S-Corp Breakeven'!$B$14)+MAX('S-Corp Breakeven'!$B$16,MAX(0,A19-B19-MIN(B19,'S-Corp Breakeven'!$B$11)*('S-Corp Breakeven'!$B$13+'S-Corp Breakeven'!$B$14)/2)*'S-Corp Breakeven'!$B$15)+'S-Corp Breakeven'!$B$7+'S-Corp Breakeven'!$B$8</f>
        <v>25043.415</v>
      </c>
      <c r="E19" s="17" t="n">
        <f aca="false">C19-D19</f>
        <v>5333.405</v>
      </c>
      <c r="F19" s="18" t="str">
        <f aca="false">IF(E19&gt;2000,"Convert",IF(E19&gt;0,"Marginal","Stay sole prop"))</f>
        <v>Convert</v>
      </c>
    </row>
    <row r="20" customFormat="false" ht="15" hidden="false" customHeight="false" outlineLevel="0" collapsed="false">
      <c r="A20" s="17" t="n">
        <v>300000</v>
      </c>
      <c r="B20" s="17" t="n">
        <f aca="false">MAX($B$5,A20*$B$4)</f>
        <v>135000</v>
      </c>
      <c r="C20" s="17" t="n">
        <f aca="false">MIN(A20*'S-Corp Breakeven'!$B$12,'S-Corp Breakeven'!$B$11)*'S-Corp Breakeven'!$B$13+A20*'S-Corp Breakeven'!$B$12*'S-Corp Breakeven'!$B$14</f>
        <v>30912.45</v>
      </c>
      <c r="D20" s="17" t="n">
        <f aca="false">MIN(B20,'S-Corp Breakeven'!$B$11)*('S-Corp Breakeven'!$B$13+'S-Corp Breakeven'!$B$14)+MAX('S-Corp Breakeven'!$B$16,MAX(0,A20-B20-MIN(B20,'S-Corp Breakeven'!$B$11)*('S-Corp Breakeven'!$B$13+'S-Corp Breakeven'!$B$14)/2)*'S-Corp Breakeven'!$B$15)+'S-Corp Breakeven'!$B$7+'S-Corp Breakeven'!$B$8</f>
        <v>26575.0875</v>
      </c>
      <c r="E20" s="17" t="n">
        <f aca="false">C20-D20</f>
        <v>4337.3625</v>
      </c>
      <c r="F20" s="18" t="str">
        <f aca="false">IF(E20&gt;2000,"Convert",IF(E20&gt;0,"Marginal","Stay sole prop"))</f>
        <v>Convert</v>
      </c>
    </row>
    <row r="21" customFormat="false" ht="15" hidden="false" customHeight="false" outlineLevel="0" collapsed="false">
      <c r="A21" s="17" t="n">
        <v>320000</v>
      </c>
      <c r="B21" s="17" t="n">
        <f aca="false">MAX($B$5,A21*$B$4)</f>
        <v>144000</v>
      </c>
      <c r="C21" s="17" t="n">
        <f aca="false">MIN(A21*'S-Corp Breakeven'!$B$12,'S-Corp Breakeven'!$B$11)*'S-Corp Breakeven'!$B$13+A21*'S-Corp Breakeven'!$B$12*'S-Corp Breakeven'!$B$14</f>
        <v>31448.08</v>
      </c>
      <c r="D21" s="17" t="n">
        <f aca="false">MIN(B21,'S-Corp Breakeven'!$B$11)*('S-Corp Breakeven'!$B$13+'S-Corp Breakeven'!$B$14)+MAX('S-Corp Breakeven'!$B$16,MAX(0,A21-B21-MIN(B21,'S-Corp Breakeven'!$B$11)*('S-Corp Breakeven'!$B$13+'S-Corp Breakeven'!$B$14)/2)*'S-Corp Breakeven'!$B$15)+'S-Corp Breakeven'!$B$7+'S-Corp Breakeven'!$B$8</f>
        <v>28106.76</v>
      </c>
      <c r="E21" s="17" t="n">
        <f aca="false">C21-D21</f>
        <v>3341.32</v>
      </c>
      <c r="F21" s="18" t="str">
        <f aca="false">IF(E21&gt;2000,"Convert",IF(E21&gt;0,"Marginal","Stay sole prop"))</f>
        <v>Convert</v>
      </c>
    </row>
    <row r="22" customFormat="false" ht="15" hidden="false" customHeight="false" outlineLevel="0" collapsed="false">
      <c r="A22" s="17" t="n">
        <v>340000</v>
      </c>
      <c r="B22" s="17" t="n">
        <f aca="false">MAX($B$5,A22*$B$4)</f>
        <v>153000</v>
      </c>
      <c r="C22" s="17" t="n">
        <f aca="false">MIN(A22*'S-Corp Breakeven'!$B$12,'S-Corp Breakeven'!$B$11)*'S-Corp Breakeven'!$B$13+A22*'S-Corp Breakeven'!$B$12*'S-Corp Breakeven'!$B$14</f>
        <v>31983.71</v>
      </c>
      <c r="D22" s="17" t="n">
        <f aca="false">MIN(B22,'S-Corp Breakeven'!$B$11)*('S-Corp Breakeven'!$B$13+'S-Corp Breakeven'!$B$14)+MAX('S-Corp Breakeven'!$B$16,MAX(0,A22-B22-MIN(B22,'S-Corp Breakeven'!$B$11)*('S-Corp Breakeven'!$B$13+'S-Corp Breakeven'!$B$14)/2)*'S-Corp Breakeven'!$B$15)+'S-Corp Breakeven'!$B$7+'S-Corp Breakeven'!$B$8</f>
        <v>29638.4325</v>
      </c>
      <c r="E22" s="17" t="n">
        <f aca="false">C22-D22</f>
        <v>2345.2775</v>
      </c>
      <c r="F22" s="18" t="str">
        <f aca="false">IF(E22&gt;2000,"Convert",IF(E22&gt;0,"Marginal","Stay sole prop"))</f>
        <v>Convert</v>
      </c>
    </row>
    <row r="23" customFormat="false" ht="15" hidden="false" customHeight="false" outlineLevel="0" collapsed="false">
      <c r="A23" s="17" t="n">
        <v>360000</v>
      </c>
      <c r="B23" s="17" t="n">
        <f aca="false">MAX($B$5,A23*$B$4)</f>
        <v>162000</v>
      </c>
      <c r="C23" s="17" t="n">
        <f aca="false">MIN(A23*'S-Corp Breakeven'!$B$12,'S-Corp Breakeven'!$B$11)*'S-Corp Breakeven'!$B$13+A23*'S-Corp Breakeven'!$B$12*'S-Corp Breakeven'!$B$14</f>
        <v>32519.34</v>
      </c>
      <c r="D23" s="17" t="n">
        <f aca="false">MIN(B23,'S-Corp Breakeven'!$B$11)*('S-Corp Breakeven'!$B$13+'S-Corp Breakeven'!$B$14)+MAX('S-Corp Breakeven'!$B$16,MAX(0,A23-B23-MIN(B23,'S-Corp Breakeven'!$B$11)*('S-Corp Breakeven'!$B$13+'S-Corp Breakeven'!$B$14)/2)*'S-Corp Breakeven'!$B$15)+'S-Corp Breakeven'!$B$7+'S-Corp Breakeven'!$B$8</f>
        <v>31170.105</v>
      </c>
      <c r="E23" s="17" t="n">
        <f aca="false">C23-D23</f>
        <v>1349.235</v>
      </c>
      <c r="F23" s="18" t="str">
        <f aca="false">IF(E23&gt;2000,"Convert",IF(E23&gt;0,"Marginal","Stay sole prop"))</f>
        <v>Marginal</v>
      </c>
    </row>
    <row r="24" customFormat="false" ht="15" hidden="false" customHeight="false" outlineLevel="0" collapsed="false">
      <c r="A24" s="17" t="n">
        <v>380000</v>
      </c>
      <c r="B24" s="17" t="n">
        <f aca="false">MAX($B$5,A24*$B$4)</f>
        <v>171000</v>
      </c>
      <c r="C24" s="17" t="n">
        <f aca="false">MIN(A24*'S-Corp Breakeven'!$B$12,'S-Corp Breakeven'!$B$11)*'S-Corp Breakeven'!$B$13+A24*'S-Corp Breakeven'!$B$12*'S-Corp Breakeven'!$B$14</f>
        <v>33054.97</v>
      </c>
      <c r="D24" s="17" t="n">
        <f aca="false">MIN(B24,'S-Corp Breakeven'!$B$11)*('S-Corp Breakeven'!$B$13+'S-Corp Breakeven'!$B$14)+MAX('S-Corp Breakeven'!$B$16,MAX(0,A24-B24-MIN(B24,'S-Corp Breakeven'!$B$11)*('S-Corp Breakeven'!$B$13+'S-Corp Breakeven'!$B$14)/2)*'S-Corp Breakeven'!$B$15)+'S-Corp Breakeven'!$B$7+'S-Corp Breakeven'!$B$8</f>
        <v>32701.7775</v>
      </c>
      <c r="E24" s="17" t="n">
        <f aca="false">C24-D24</f>
        <v>353.192500000001</v>
      </c>
      <c r="F24" s="18" t="str">
        <f aca="false">IF(E24&gt;2000,"Convert",IF(E24&gt;0,"Marginal","Stay sole prop"))</f>
        <v>Marginal</v>
      </c>
    </row>
    <row r="25" customFormat="false" ht="15" hidden="false" customHeight="false" outlineLevel="0" collapsed="false">
      <c r="A25" s="17" t="n">
        <v>400000</v>
      </c>
      <c r="B25" s="17" t="n">
        <f aca="false">MAX($B$5,A25*$B$4)</f>
        <v>180000</v>
      </c>
      <c r="C25" s="17" t="n">
        <f aca="false">MIN(A25*'S-Corp Breakeven'!$B$12,'S-Corp Breakeven'!$B$11)*'S-Corp Breakeven'!$B$13+A25*'S-Corp Breakeven'!$B$12*'S-Corp Breakeven'!$B$14</f>
        <v>33590.6</v>
      </c>
      <c r="D25" s="17" t="n">
        <f aca="false">MIN(B25,'S-Corp Breakeven'!$B$11)*('S-Corp Breakeven'!$B$13+'S-Corp Breakeven'!$B$14)+MAX('S-Corp Breakeven'!$B$16,MAX(0,A25-B25-MIN(B25,'S-Corp Breakeven'!$B$11)*('S-Corp Breakeven'!$B$13+'S-Corp Breakeven'!$B$14)/2)*'S-Corp Breakeven'!$B$15)+'S-Corp Breakeven'!$B$7+'S-Corp Breakeven'!$B$8</f>
        <v>34233.45</v>
      </c>
      <c r="E25" s="17" t="n">
        <f aca="false">C25-D25</f>
        <v>-642.849999999999</v>
      </c>
      <c r="F25" s="18" t="str">
        <f aca="false">IF(E25&gt;2000,"Convert",IF(E25&gt;0,"Marginal","Stay sole prop"))</f>
        <v>Stay sole prop</v>
      </c>
    </row>
    <row r="28" customFormat="false" ht="15" hidden="false" customHeight="false" outlineLevel="0" collapsed="false">
      <c r="A28" s="6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6"/>
    <col collapsed="false" customWidth="true" hidden="false" outlineLevel="0" max="5" min="5" style="0" width="52"/>
  </cols>
  <sheetData>
    <row r="1" customFormat="false" ht="19.7" hidden="false" customHeight="false" outlineLevel="0" collapsed="false">
      <c r="A1" s="1" t="s">
        <v>74</v>
      </c>
    </row>
    <row r="2" customFormat="false" ht="15" hidden="false" customHeight="false" outlineLevel="0" collapsed="false">
      <c r="A2" s="2" t="s">
        <v>75</v>
      </c>
    </row>
    <row r="4" customFormat="false" ht="26.85" hidden="false" customHeight="false" outlineLevel="0" collapsed="false">
      <c r="A4" s="16" t="s">
        <v>76</v>
      </c>
      <c r="B4" s="16" t="s">
        <v>77</v>
      </c>
      <c r="C4" s="16" t="s">
        <v>78</v>
      </c>
      <c r="D4" s="16" t="s">
        <v>79</v>
      </c>
      <c r="E4" s="16" t="s">
        <v>80</v>
      </c>
    </row>
    <row r="5" customFormat="false" ht="15" hidden="false" customHeight="false" outlineLevel="0" collapsed="false">
      <c r="A5" s="19" t="s">
        <v>81</v>
      </c>
      <c r="B5" s="20" t="n">
        <v>18</v>
      </c>
      <c r="C5" s="21" t="n">
        <v>38</v>
      </c>
      <c r="D5" s="17" t="n">
        <f aca="false">B5*C5*50</f>
        <v>34200</v>
      </c>
      <c r="E5" s="22" t="s">
        <v>82</v>
      </c>
    </row>
    <row r="6" customFormat="false" ht="15" hidden="false" customHeight="false" outlineLevel="0" collapsed="false">
      <c r="A6" s="19" t="s">
        <v>83</v>
      </c>
      <c r="B6" s="20" t="n">
        <v>8</v>
      </c>
      <c r="C6" s="21" t="n">
        <v>28</v>
      </c>
      <c r="D6" s="17" t="n">
        <f aca="false">B6*C6*50</f>
        <v>11200</v>
      </c>
      <c r="E6" s="22" t="s">
        <v>84</v>
      </c>
    </row>
    <row r="7" customFormat="false" ht="15" hidden="false" customHeight="false" outlineLevel="0" collapsed="false">
      <c r="A7" s="19" t="s">
        <v>85</v>
      </c>
      <c r="B7" s="20" t="n">
        <v>5</v>
      </c>
      <c r="C7" s="21" t="n">
        <v>32</v>
      </c>
      <c r="D7" s="17" t="n">
        <f aca="false">B7*C7*50</f>
        <v>8000</v>
      </c>
      <c r="E7" s="22" t="s">
        <v>86</v>
      </c>
    </row>
    <row r="8" customFormat="false" ht="15" hidden="false" customHeight="false" outlineLevel="0" collapsed="false">
      <c r="A8" s="19" t="s">
        <v>87</v>
      </c>
      <c r="B8" s="20" t="n">
        <v>4</v>
      </c>
      <c r="C8" s="21" t="n">
        <v>45</v>
      </c>
      <c r="D8" s="17" t="n">
        <f aca="false">B8*C8*50</f>
        <v>9000</v>
      </c>
      <c r="E8" s="22" t="s">
        <v>88</v>
      </c>
    </row>
    <row r="9" customFormat="false" ht="15" hidden="false" customHeight="false" outlineLevel="0" collapsed="false">
      <c r="A9" s="19" t="s">
        <v>89</v>
      </c>
      <c r="B9" s="20" t="n">
        <v>5</v>
      </c>
      <c r="C9" s="21" t="n">
        <v>55</v>
      </c>
      <c r="D9" s="17" t="n">
        <f aca="false">B9*C9*50</f>
        <v>13750</v>
      </c>
      <c r="E9" s="22" t="s">
        <v>90</v>
      </c>
    </row>
    <row r="10" customFormat="false" ht="15" hidden="false" customHeight="false" outlineLevel="0" collapsed="false">
      <c r="A10" s="4" t="s">
        <v>91</v>
      </c>
      <c r="B10" s="23" t="n">
        <f aca="false">SUM(B5:B9)</f>
        <v>40</v>
      </c>
      <c r="D10" s="8" t="n">
        <f aca="false">SUM(D5:D9)</f>
        <v>76150</v>
      </c>
      <c r="E10" s="6" t="s">
        <v>92</v>
      </c>
    </row>
    <row r="12" customFormat="false" ht="15" hidden="false" customHeight="false" outlineLevel="0" collapsed="false">
      <c r="A12" s="4" t="s">
        <v>93</v>
      </c>
    </row>
    <row r="13" customFormat="false" ht="15" hidden="false" customHeight="false" outlineLevel="0" collapsed="false">
      <c r="A13" s="3" t="s">
        <v>94</v>
      </c>
    </row>
    <row r="14" customFormat="false" ht="15" hidden="false" customHeight="false" outlineLevel="0" collapsed="false">
      <c r="A14" s="3" t="s">
        <v>95</v>
      </c>
    </row>
    <row r="15" customFormat="false" ht="15" hidden="false" customHeight="false" outlineLevel="0" collapsed="false">
      <c r="A15" s="3" t="s">
        <v>96</v>
      </c>
    </row>
    <row r="16" customFormat="false" ht="15" hidden="false" customHeight="false" outlineLevel="0" collapsed="false">
      <c r="A16" s="3" t="s">
        <v>97</v>
      </c>
    </row>
    <row r="18" customFormat="false" ht="15" hidden="false" customHeight="false" outlineLevel="0" collapsed="false">
      <c r="A18" s="6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98</v>
      </c>
    </row>
    <row r="2" customFormat="false" ht="15" hidden="false" customHeight="false" outlineLevel="0" collapsed="false">
      <c r="A2" s="2" t="s">
        <v>99</v>
      </c>
    </row>
    <row r="4" customFormat="false" ht="15" hidden="false" customHeight="false" outlineLevel="0" collapsed="false">
      <c r="A4" s="24" t="s">
        <v>100</v>
      </c>
      <c r="B4" s="24"/>
    </row>
    <row r="5" customFormat="false" ht="15" hidden="false" customHeight="false" outlineLevel="0" collapsed="false">
      <c r="A5" s="3" t="s">
        <v>101</v>
      </c>
      <c r="B5" s="25" t="s">
        <v>102</v>
      </c>
    </row>
    <row r="6" customFormat="false" ht="15" hidden="false" customHeight="false" outlineLevel="0" collapsed="false">
      <c r="A6" s="3" t="s">
        <v>101</v>
      </c>
      <c r="B6" s="25" t="s">
        <v>103</v>
      </c>
    </row>
    <row r="7" customFormat="false" ht="15" hidden="false" customHeight="false" outlineLevel="0" collapsed="false">
      <c r="A7" s="3" t="s">
        <v>101</v>
      </c>
      <c r="B7" s="25" t="s">
        <v>104</v>
      </c>
    </row>
    <row r="8" customFormat="false" ht="15" hidden="false" customHeight="false" outlineLevel="0" collapsed="false">
      <c r="A8" s="24" t="s">
        <v>105</v>
      </c>
      <c r="B8" s="24"/>
    </row>
    <row r="9" customFormat="false" ht="15" hidden="false" customHeight="false" outlineLevel="0" collapsed="false">
      <c r="A9" s="3" t="s">
        <v>101</v>
      </c>
      <c r="B9" s="25" t="s">
        <v>106</v>
      </c>
    </row>
    <row r="10" customFormat="false" ht="23.85" hidden="false" customHeight="false" outlineLevel="0" collapsed="false">
      <c r="A10" s="3" t="s">
        <v>101</v>
      </c>
      <c r="B10" s="25" t="s">
        <v>107</v>
      </c>
    </row>
    <row r="11" customFormat="false" ht="15" hidden="false" customHeight="false" outlineLevel="0" collapsed="false">
      <c r="A11" s="3" t="s">
        <v>101</v>
      </c>
      <c r="B11" s="25" t="s">
        <v>108</v>
      </c>
    </row>
    <row r="12" customFormat="false" ht="15" hidden="false" customHeight="false" outlineLevel="0" collapsed="false">
      <c r="A12" s="24" t="s">
        <v>109</v>
      </c>
      <c r="B12" s="24"/>
    </row>
    <row r="13" customFormat="false" ht="15" hidden="false" customHeight="false" outlineLevel="0" collapsed="false">
      <c r="A13" s="3" t="s">
        <v>101</v>
      </c>
      <c r="B13" s="25" t="s">
        <v>110</v>
      </c>
    </row>
    <row r="14" customFormat="false" ht="15" hidden="false" customHeight="false" outlineLevel="0" collapsed="false">
      <c r="A14" s="3" t="s">
        <v>101</v>
      </c>
      <c r="B14" s="25" t="s">
        <v>111</v>
      </c>
    </row>
    <row r="15" customFormat="false" ht="15" hidden="false" customHeight="false" outlineLevel="0" collapsed="false">
      <c r="A15" s="24" t="s">
        <v>112</v>
      </c>
      <c r="B15" s="24"/>
    </row>
    <row r="16" customFormat="false" ht="15" hidden="false" customHeight="false" outlineLevel="0" collapsed="false">
      <c r="A16" s="3" t="s">
        <v>101</v>
      </c>
      <c r="B16" s="25" t="s">
        <v>113</v>
      </c>
    </row>
    <row r="17" customFormat="false" ht="15" hidden="false" customHeight="false" outlineLevel="0" collapsed="false">
      <c r="A17" s="3" t="s">
        <v>101</v>
      </c>
      <c r="B17" s="25" t="s">
        <v>114</v>
      </c>
    </row>
    <row r="18" customFormat="false" ht="15" hidden="false" customHeight="false" outlineLevel="0" collapsed="false">
      <c r="A18" s="3" t="s">
        <v>101</v>
      </c>
      <c r="B18" s="25" t="s">
        <v>115</v>
      </c>
    </row>
    <row r="20" customFormat="false" ht="15" hidden="false" customHeight="false" outlineLevel="0" collapsed="false">
      <c r="A20" s="6" t="s">
        <v>20</v>
      </c>
    </row>
  </sheetData>
  <mergeCells count="4">
    <mergeCell ref="A4:B4"/>
    <mergeCell ref="A8:B8"/>
    <mergeCell ref="A12:B12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2026-07-05T23:05:15Z</dcterms:created>
  <dc:creator>openpyxl</dc:creator>
  <dc:description/>
  <dc:language>en-US</dc:language>
  <cp:lastModifiedBy/>
  <dcterms:modified xsi:type="dcterms:W3CDTF">2026-07-05T23:05:15Z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